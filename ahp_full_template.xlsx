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fice\Dokumen Kegiatan 2025\RP Perencanaan Microgrid Terisolasi\KI\"/>
    </mc:Choice>
  </mc:AlternateContent>
  <xr:revisionPtr revIDLastSave="0" documentId="13_ncr:1_{E5893FF8-ECB5-41F5-9FC9-5273C03FD585}" xr6:coauthVersionLast="45" xr6:coauthVersionMax="47" xr10:uidLastSave="{00000000-0000-0000-0000-000000000000}"/>
  <bookViews>
    <workbookView xWindow="-110" yWindow="-110" windowWidth="19420" windowHeight="10420" tabRatio="835" activeTab="4" xr2:uid="{3F899148-B2CA-4611-BA98-03670432D7D9}"/>
  </bookViews>
  <sheets>
    <sheet name="Panduan" sheetId="11" r:id="rId1"/>
    <sheet name="Challanges" sheetId="1" r:id="rId2"/>
    <sheet name="Kriteria&amp;Bobot" sheetId="2" r:id="rId3"/>
    <sheet name="Data Kriteria" sheetId="4" r:id="rId4"/>
    <sheet name="Eig Vec Bobot Kriteria" sheetId="3" r:id="rId5"/>
    <sheet name="Eig Vec Data Kriteria" sheetId="5" r:id="rId6"/>
    <sheet name="FINAL MATRIK" sheetId="6" r:id="rId7"/>
    <sheet name="PERINGKAT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97" i="5" l="1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71" i="5"/>
  <c r="S356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B4" i="4"/>
  <c r="A5" i="4"/>
  <c r="G7" i="4"/>
  <c r="K20" i="4"/>
  <c r="P7" i="4"/>
  <c r="A384" i="5"/>
  <c r="R384" i="5"/>
  <c r="P8" i="4"/>
  <c r="A385" i="5"/>
  <c r="R385" i="5"/>
  <c r="P9" i="4"/>
  <c r="A386" i="5"/>
  <c r="R386" i="5"/>
  <c r="P10" i="4"/>
  <c r="A387" i="5"/>
  <c r="R387" i="5"/>
  <c r="P11" i="4"/>
  <c r="A388" i="5"/>
  <c r="R388" i="5"/>
  <c r="P12" i="4"/>
  <c r="A389" i="5"/>
  <c r="R389" i="5"/>
  <c r="P13" i="4"/>
  <c r="A390" i="5"/>
  <c r="R390" i="5"/>
  <c r="P14" i="4"/>
  <c r="A391" i="5"/>
  <c r="R391" i="5"/>
  <c r="P15" i="4"/>
  <c r="A392" i="5"/>
  <c r="R392" i="5"/>
  <c r="P16" i="4"/>
  <c r="A393" i="5"/>
  <c r="R393" i="5"/>
  <c r="P17" i="4"/>
  <c r="A394" i="5"/>
  <c r="R394" i="5"/>
  <c r="P18" i="4"/>
  <c r="A395" i="5"/>
  <c r="R395" i="5"/>
  <c r="P19" i="4"/>
  <c r="A396" i="5"/>
  <c r="R396" i="5"/>
  <c r="P20" i="4"/>
  <c r="A397" i="5"/>
  <c r="R397" i="5"/>
  <c r="P6" i="4"/>
  <c r="A383" i="5"/>
  <c r="R383" i="5"/>
  <c r="A357" i="5"/>
  <c r="R357" i="5"/>
  <c r="A358" i="5"/>
  <c r="R358" i="5"/>
  <c r="A359" i="5"/>
  <c r="R359" i="5"/>
  <c r="A360" i="5"/>
  <c r="R360" i="5"/>
  <c r="A361" i="5"/>
  <c r="R361" i="5"/>
  <c r="A362" i="5"/>
  <c r="R362" i="5"/>
  <c r="A363" i="5"/>
  <c r="R363" i="5"/>
  <c r="A364" i="5"/>
  <c r="R364" i="5"/>
  <c r="A365" i="5"/>
  <c r="R365" i="5"/>
  <c r="A366" i="5"/>
  <c r="R366" i="5"/>
  <c r="A367" i="5"/>
  <c r="R367" i="5"/>
  <c r="A368" i="5"/>
  <c r="R368" i="5"/>
  <c r="A369" i="5"/>
  <c r="R369" i="5"/>
  <c r="A370" i="5"/>
  <c r="R370" i="5"/>
  <c r="A356" i="5"/>
  <c r="R356" i="5"/>
  <c r="O7" i="4"/>
  <c r="A330" i="5"/>
  <c r="R330" i="5"/>
  <c r="O8" i="4"/>
  <c r="A331" i="5"/>
  <c r="R331" i="5"/>
  <c r="O9" i="4"/>
  <c r="A332" i="5"/>
  <c r="R332" i="5"/>
  <c r="O10" i="4"/>
  <c r="A333" i="5"/>
  <c r="R333" i="5"/>
  <c r="O11" i="4"/>
  <c r="A334" i="5"/>
  <c r="R334" i="5"/>
  <c r="O12" i="4"/>
  <c r="A335" i="5"/>
  <c r="R335" i="5"/>
  <c r="O13" i="4"/>
  <c r="A336" i="5"/>
  <c r="R336" i="5"/>
  <c r="O14" i="4"/>
  <c r="A337" i="5"/>
  <c r="R337" i="5"/>
  <c r="O15" i="4"/>
  <c r="A338" i="5"/>
  <c r="R338" i="5"/>
  <c r="O16" i="4"/>
  <c r="A339" i="5"/>
  <c r="R339" i="5"/>
  <c r="O17" i="4"/>
  <c r="A340" i="5"/>
  <c r="R340" i="5"/>
  <c r="O18" i="4"/>
  <c r="A341" i="5"/>
  <c r="R341" i="5"/>
  <c r="O19" i="4"/>
  <c r="A342" i="5"/>
  <c r="R342" i="5"/>
  <c r="O20" i="4"/>
  <c r="A343" i="5"/>
  <c r="R343" i="5"/>
  <c r="O6" i="4"/>
  <c r="A329" i="5"/>
  <c r="R329" i="5"/>
  <c r="N7" i="4"/>
  <c r="A303" i="5"/>
  <c r="R303" i="5"/>
  <c r="N8" i="4"/>
  <c r="A304" i="5"/>
  <c r="R304" i="5"/>
  <c r="N9" i="4"/>
  <c r="A305" i="5"/>
  <c r="R305" i="5"/>
  <c r="N10" i="4"/>
  <c r="A306" i="5"/>
  <c r="R306" i="5"/>
  <c r="N11" i="4"/>
  <c r="A307" i="5"/>
  <c r="R307" i="5"/>
  <c r="N12" i="4"/>
  <c r="A308" i="5"/>
  <c r="R308" i="5"/>
  <c r="N13" i="4"/>
  <c r="A309" i="5"/>
  <c r="R309" i="5"/>
  <c r="N14" i="4"/>
  <c r="A310" i="5"/>
  <c r="R310" i="5"/>
  <c r="N15" i="4"/>
  <c r="A311" i="5"/>
  <c r="R311" i="5"/>
  <c r="N16" i="4"/>
  <c r="A312" i="5"/>
  <c r="R312" i="5"/>
  <c r="N17" i="4"/>
  <c r="A313" i="5"/>
  <c r="R313" i="5"/>
  <c r="N18" i="4"/>
  <c r="A314" i="5"/>
  <c r="R314" i="5"/>
  <c r="N19" i="4"/>
  <c r="A315" i="5"/>
  <c r="R315" i="5"/>
  <c r="N20" i="4"/>
  <c r="A316" i="5"/>
  <c r="R316" i="5"/>
  <c r="N6" i="4"/>
  <c r="A302" i="5"/>
  <c r="R302" i="5"/>
  <c r="M7" i="4"/>
  <c r="A276" i="5"/>
  <c r="R276" i="5"/>
  <c r="M8" i="4"/>
  <c r="A277" i="5"/>
  <c r="R277" i="5"/>
  <c r="M9" i="4"/>
  <c r="A278" i="5"/>
  <c r="R278" i="5"/>
  <c r="M10" i="4"/>
  <c r="A279" i="5"/>
  <c r="R279" i="5"/>
  <c r="M11" i="4"/>
  <c r="A280" i="5"/>
  <c r="R280" i="5"/>
  <c r="M12" i="4"/>
  <c r="A281" i="5"/>
  <c r="R281" i="5"/>
  <c r="M13" i="4"/>
  <c r="A282" i="5"/>
  <c r="R282" i="5"/>
  <c r="M14" i="4"/>
  <c r="A283" i="5"/>
  <c r="R283" i="5"/>
  <c r="M15" i="4"/>
  <c r="A284" i="5"/>
  <c r="R284" i="5"/>
  <c r="M16" i="4"/>
  <c r="A285" i="5"/>
  <c r="R285" i="5"/>
  <c r="M17" i="4"/>
  <c r="A286" i="5"/>
  <c r="R286" i="5"/>
  <c r="M18" i="4"/>
  <c r="A287" i="5"/>
  <c r="R287" i="5"/>
  <c r="M19" i="4"/>
  <c r="A288" i="5"/>
  <c r="R288" i="5"/>
  <c r="M20" i="4"/>
  <c r="A289" i="5"/>
  <c r="R289" i="5"/>
  <c r="M6" i="4"/>
  <c r="A275" i="5"/>
  <c r="R275" i="5"/>
  <c r="L7" i="4"/>
  <c r="A249" i="5"/>
  <c r="R249" i="5"/>
  <c r="L8" i="4"/>
  <c r="A250" i="5"/>
  <c r="R250" i="5"/>
  <c r="L9" i="4"/>
  <c r="A251" i="5"/>
  <c r="R251" i="5"/>
  <c r="L10" i="4"/>
  <c r="A252" i="5"/>
  <c r="R252" i="5"/>
  <c r="L11" i="4"/>
  <c r="A253" i="5"/>
  <c r="R253" i="5"/>
  <c r="L12" i="4"/>
  <c r="A254" i="5"/>
  <c r="R254" i="5"/>
  <c r="L13" i="4"/>
  <c r="A255" i="5"/>
  <c r="R255" i="5"/>
  <c r="L14" i="4"/>
  <c r="A256" i="5"/>
  <c r="R256" i="5"/>
  <c r="L15" i="4"/>
  <c r="A257" i="5"/>
  <c r="R257" i="5"/>
  <c r="L16" i="4"/>
  <c r="A258" i="5"/>
  <c r="R258" i="5"/>
  <c r="L17" i="4"/>
  <c r="A259" i="5"/>
  <c r="R259" i="5"/>
  <c r="L18" i="4"/>
  <c r="A260" i="5"/>
  <c r="R260" i="5"/>
  <c r="L19" i="4"/>
  <c r="A261" i="5"/>
  <c r="R261" i="5"/>
  <c r="L20" i="4"/>
  <c r="A262" i="5"/>
  <c r="R262" i="5"/>
  <c r="L6" i="4"/>
  <c r="A248" i="5"/>
  <c r="R248" i="5"/>
  <c r="K7" i="4"/>
  <c r="A222" i="5"/>
  <c r="R222" i="5"/>
  <c r="K8" i="4"/>
  <c r="A223" i="5"/>
  <c r="R223" i="5"/>
  <c r="K9" i="4"/>
  <c r="A224" i="5"/>
  <c r="R224" i="5"/>
  <c r="K10" i="4"/>
  <c r="A225" i="5"/>
  <c r="R225" i="5"/>
  <c r="K11" i="4"/>
  <c r="A226" i="5"/>
  <c r="R226" i="5"/>
  <c r="K12" i="4"/>
  <c r="A227" i="5"/>
  <c r="R227" i="5"/>
  <c r="K13" i="4"/>
  <c r="A228" i="5"/>
  <c r="R228" i="5"/>
  <c r="K14" i="4"/>
  <c r="A229" i="5"/>
  <c r="R229" i="5"/>
  <c r="K15" i="4"/>
  <c r="A230" i="5"/>
  <c r="R230" i="5"/>
  <c r="K16" i="4"/>
  <c r="A231" i="5"/>
  <c r="R231" i="5"/>
  <c r="K17" i="4"/>
  <c r="A232" i="5"/>
  <c r="R232" i="5"/>
  <c r="K18" i="4"/>
  <c r="A233" i="5"/>
  <c r="R233" i="5"/>
  <c r="K19" i="4"/>
  <c r="A234" i="5"/>
  <c r="R234" i="5"/>
  <c r="A235" i="5"/>
  <c r="R235" i="5"/>
  <c r="K6" i="4"/>
  <c r="A221" i="5"/>
  <c r="R221" i="5"/>
  <c r="J7" i="4"/>
  <c r="A195" i="5"/>
  <c r="R195" i="5"/>
  <c r="J8" i="4"/>
  <c r="A196" i="5"/>
  <c r="R196" i="5"/>
  <c r="J9" i="4"/>
  <c r="A197" i="5"/>
  <c r="R197" i="5"/>
  <c r="J10" i="4"/>
  <c r="A198" i="5"/>
  <c r="R198" i="5"/>
  <c r="J11" i="4"/>
  <c r="A199" i="5"/>
  <c r="R199" i="5"/>
  <c r="J12" i="4"/>
  <c r="A200" i="5"/>
  <c r="R200" i="5"/>
  <c r="J13" i="4"/>
  <c r="A201" i="5"/>
  <c r="R201" i="5"/>
  <c r="J14" i="4"/>
  <c r="A202" i="5"/>
  <c r="R202" i="5"/>
  <c r="J15" i="4"/>
  <c r="A203" i="5"/>
  <c r="R203" i="5"/>
  <c r="J16" i="4"/>
  <c r="A204" i="5"/>
  <c r="R204" i="5"/>
  <c r="J17" i="4"/>
  <c r="A205" i="5"/>
  <c r="R205" i="5"/>
  <c r="J18" i="4"/>
  <c r="A206" i="5"/>
  <c r="R206" i="5"/>
  <c r="J19" i="4"/>
  <c r="A207" i="5"/>
  <c r="R207" i="5"/>
  <c r="J20" i="4"/>
  <c r="A208" i="5"/>
  <c r="R208" i="5"/>
  <c r="J6" i="4"/>
  <c r="A194" i="5"/>
  <c r="R194" i="5"/>
  <c r="I7" i="4"/>
  <c r="A168" i="5"/>
  <c r="R168" i="5"/>
  <c r="I8" i="4"/>
  <c r="A169" i="5"/>
  <c r="R169" i="5"/>
  <c r="I9" i="4"/>
  <c r="A170" i="5"/>
  <c r="R170" i="5"/>
  <c r="I10" i="4"/>
  <c r="A171" i="5"/>
  <c r="R171" i="5"/>
  <c r="I11" i="4"/>
  <c r="A172" i="5"/>
  <c r="R172" i="5"/>
  <c r="I12" i="4"/>
  <c r="A173" i="5"/>
  <c r="R173" i="5"/>
  <c r="I13" i="4"/>
  <c r="A174" i="5"/>
  <c r="R174" i="5"/>
  <c r="I14" i="4"/>
  <c r="A175" i="5"/>
  <c r="R175" i="5"/>
  <c r="I15" i="4"/>
  <c r="A176" i="5"/>
  <c r="R176" i="5"/>
  <c r="I16" i="4"/>
  <c r="A177" i="5"/>
  <c r="R177" i="5"/>
  <c r="I17" i="4"/>
  <c r="A178" i="5"/>
  <c r="R178" i="5"/>
  <c r="I18" i="4"/>
  <c r="A179" i="5"/>
  <c r="R179" i="5"/>
  <c r="I19" i="4"/>
  <c r="A180" i="5"/>
  <c r="R180" i="5"/>
  <c r="I20" i="4"/>
  <c r="A181" i="5"/>
  <c r="R181" i="5"/>
  <c r="I6" i="4"/>
  <c r="A167" i="5"/>
  <c r="R167" i="5"/>
  <c r="H7" i="4"/>
  <c r="A141" i="5"/>
  <c r="R141" i="5"/>
  <c r="H8" i="4"/>
  <c r="A142" i="5"/>
  <c r="R142" i="5"/>
  <c r="H9" i="4"/>
  <c r="A143" i="5"/>
  <c r="R143" i="5"/>
  <c r="H10" i="4"/>
  <c r="A144" i="5"/>
  <c r="R144" i="5"/>
  <c r="H11" i="4"/>
  <c r="A145" i="5"/>
  <c r="R145" i="5"/>
  <c r="H12" i="4"/>
  <c r="A146" i="5"/>
  <c r="R146" i="5"/>
  <c r="H13" i="4"/>
  <c r="A147" i="5"/>
  <c r="R147" i="5"/>
  <c r="H14" i="4"/>
  <c r="A148" i="5"/>
  <c r="R148" i="5"/>
  <c r="H15" i="4"/>
  <c r="A149" i="5"/>
  <c r="R149" i="5"/>
  <c r="H16" i="4"/>
  <c r="A150" i="5"/>
  <c r="R150" i="5"/>
  <c r="H17" i="4"/>
  <c r="A151" i="5"/>
  <c r="R151" i="5"/>
  <c r="H18" i="4"/>
  <c r="A152" i="5"/>
  <c r="R152" i="5"/>
  <c r="H19" i="4"/>
  <c r="A153" i="5"/>
  <c r="R153" i="5"/>
  <c r="H20" i="4"/>
  <c r="A154" i="5"/>
  <c r="R154" i="5"/>
  <c r="H6" i="4"/>
  <c r="A140" i="5"/>
  <c r="R140" i="5"/>
  <c r="C6" i="4"/>
  <c r="A5" i="5"/>
  <c r="R5" i="5"/>
  <c r="C381" i="5" a="1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81" i="5"/>
  <c r="C391" i="5"/>
  <c r="C354" i="5" a="1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54" i="5"/>
  <c r="C364" i="5"/>
  <c r="C327" i="5" a="1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27" i="5"/>
  <c r="C337" i="5"/>
  <c r="C300" i="5" a="1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00" i="5"/>
  <c r="C310" i="5"/>
  <c r="C273" i="5" a="1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73" i="5"/>
  <c r="C283" i="5"/>
  <c r="C246" i="5" a="1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46" i="5"/>
  <c r="C256" i="5"/>
  <c r="C219" i="5" a="1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19" i="5"/>
  <c r="C235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C192" i="5" a="1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192" i="5"/>
  <c r="C202" i="5"/>
  <c r="C165" i="5" a="1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65" i="5"/>
  <c r="C175" i="5"/>
  <c r="C138" i="5" a="1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38" i="5"/>
  <c r="C148" i="5"/>
  <c r="G6" i="4"/>
  <c r="A113" i="5"/>
  <c r="A114" i="5"/>
  <c r="G8" i="4"/>
  <c r="A115" i="5"/>
  <c r="G9" i="4"/>
  <c r="A116" i="5"/>
  <c r="G10" i="4"/>
  <c r="A117" i="5"/>
  <c r="G11" i="4"/>
  <c r="A118" i="5"/>
  <c r="G12" i="4"/>
  <c r="A119" i="5"/>
  <c r="G13" i="4"/>
  <c r="A120" i="5"/>
  <c r="G14" i="4"/>
  <c r="A121" i="5"/>
  <c r="G15" i="4"/>
  <c r="A122" i="5"/>
  <c r="G16" i="4"/>
  <c r="A123" i="5"/>
  <c r="G17" i="4"/>
  <c r="A124" i="5"/>
  <c r="G18" i="4"/>
  <c r="A125" i="5"/>
  <c r="G19" i="4"/>
  <c r="A126" i="5"/>
  <c r="G20" i="4"/>
  <c r="A127" i="5"/>
  <c r="C111" i="5" a="1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11" i="5"/>
  <c r="C121" i="5"/>
  <c r="F6" i="4"/>
  <c r="A86" i="5"/>
  <c r="F7" i="4"/>
  <c r="A87" i="5"/>
  <c r="F8" i="4"/>
  <c r="A88" i="5"/>
  <c r="F9" i="4"/>
  <c r="A89" i="5"/>
  <c r="F10" i="4"/>
  <c r="A90" i="5"/>
  <c r="F11" i="4"/>
  <c r="A91" i="5"/>
  <c r="F12" i="4"/>
  <c r="A92" i="5"/>
  <c r="F13" i="4"/>
  <c r="A93" i="5"/>
  <c r="F14" i="4"/>
  <c r="A94" i="5"/>
  <c r="F15" i="4"/>
  <c r="A95" i="5"/>
  <c r="F16" i="4"/>
  <c r="A96" i="5"/>
  <c r="F17" i="4"/>
  <c r="A97" i="5"/>
  <c r="F18" i="4"/>
  <c r="A98" i="5"/>
  <c r="F19" i="4"/>
  <c r="A99" i="5"/>
  <c r="F20" i="4"/>
  <c r="A100" i="5"/>
  <c r="C84" i="5" a="1"/>
  <c r="Q90" i="5"/>
  <c r="P90" i="5"/>
  <c r="O90" i="5"/>
  <c r="N90" i="5"/>
  <c r="M90" i="5"/>
  <c r="L90" i="5"/>
  <c r="K90" i="5"/>
  <c r="J90" i="5"/>
  <c r="I90" i="5"/>
  <c r="H90" i="5"/>
  <c r="F90" i="5"/>
  <c r="E90" i="5"/>
  <c r="D90" i="5"/>
  <c r="C84" i="5"/>
  <c r="C90" i="5"/>
  <c r="D6" i="4"/>
  <c r="E6" i="4"/>
  <c r="D7" i="4"/>
  <c r="E7" i="4"/>
  <c r="D8" i="4"/>
  <c r="E8" i="4"/>
  <c r="C7" i="4"/>
  <c r="C8" i="4"/>
  <c r="E9" i="2"/>
  <c r="E8" i="2"/>
  <c r="E7" i="2"/>
  <c r="E6" i="2"/>
  <c r="E10" i="2"/>
  <c r="C9" i="4"/>
  <c r="A8" i="5"/>
  <c r="C10" i="4"/>
  <c r="A9" i="5"/>
  <c r="C11" i="4"/>
  <c r="A10" i="5"/>
  <c r="C12" i="4"/>
  <c r="A11" i="5"/>
  <c r="C13" i="4"/>
  <c r="A12" i="5"/>
  <c r="C14" i="4"/>
  <c r="A13" i="5"/>
  <c r="C15" i="4"/>
  <c r="A14" i="5"/>
  <c r="C16" i="4"/>
  <c r="A15" i="5"/>
  <c r="C17" i="4"/>
  <c r="A16" i="5"/>
  <c r="C18" i="4"/>
  <c r="A17" i="5"/>
  <c r="C19" i="4"/>
  <c r="A18" i="5"/>
  <c r="C20" i="4"/>
  <c r="A19" i="5"/>
  <c r="A6" i="5"/>
  <c r="A7" i="5"/>
  <c r="C3" i="5" a="1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21" i="1"/>
  <c r="B20" i="1"/>
  <c r="B19" i="1"/>
  <c r="B18" i="1"/>
  <c r="B17" i="1"/>
  <c r="B16" i="1"/>
  <c r="B15" i="1"/>
  <c r="B14" i="1"/>
  <c r="B13" i="1"/>
  <c r="B12" i="1"/>
  <c r="B11" i="1"/>
  <c r="B10" i="1"/>
  <c r="B7" i="1"/>
  <c r="B9" i="1"/>
  <c r="B8" i="1"/>
  <c r="E11" i="2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E20" i="4"/>
  <c r="E19" i="4"/>
  <c r="E18" i="4"/>
  <c r="E17" i="4"/>
  <c r="E16" i="4"/>
  <c r="E15" i="4"/>
  <c r="E14" i="4"/>
  <c r="E13" i="4"/>
  <c r="E12" i="4"/>
  <c r="E11" i="4"/>
  <c r="E10" i="4"/>
  <c r="E9" i="4"/>
  <c r="D20" i="4"/>
  <c r="D19" i="4"/>
  <c r="D18" i="4"/>
  <c r="D17" i="4"/>
  <c r="D16" i="4"/>
  <c r="D15" i="4"/>
  <c r="D14" i="4"/>
  <c r="D13" i="4"/>
  <c r="D12" i="4"/>
  <c r="D11" i="4"/>
  <c r="D10" i="4"/>
  <c r="D9" i="4"/>
  <c r="Q20" i="4"/>
  <c r="D5" i="4"/>
  <c r="B6" i="4"/>
  <c r="E5" i="4"/>
  <c r="C4" i="3" a="1"/>
  <c r="F5" i="4"/>
  <c r="G5" i="4"/>
  <c r="H5" i="4"/>
  <c r="I5" i="4"/>
  <c r="J5" i="4"/>
  <c r="K5" i="4"/>
  <c r="L5" i="4"/>
  <c r="M5" i="4"/>
  <c r="N5" i="4"/>
  <c r="O5" i="4"/>
  <c r="P5" i="4"/>
  <c r="Q5" i="4"/>
  <c r="B7" i="4"/>
  <c r="B8" i="4"/>
  <c r="C5" i="4"/>
  <c r="B1" i="7"/>
  <c r="C1" i="2"/>
  <c r="E20" i="2"/>
  <c r="E19" i="2"/>
  <c r="E18" i="2"/>
  <c r="E17" i="2"/>
  <c r="E16" i="2"/>
  <c r="E15" i="2"/>
  <c r="E14" i="2"/>
  <c r="E13" i="2"/>
  <c r="E12" i="2"/>
  <c r="E23" i="3"/>
  <c r="T24" i="3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E23" i="5"/>
  <c r="E50" i="5"/>
  <c r="E77" i="5"/>
  <c r="E104" i="5"/>
  <c r="E131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C3" i="5"/>
  <c r="C11" i="5"/>
  <c r="R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R128" i="5"/>
  <c r="P6" i="6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P7" i="6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P8" i="6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P9" i="6"/>
  <c r="P10" i="6"/>
  <c r="P11" i="6"/>
  <c r="P12" i="6"/>
  <c r="P13" i="6"/>
  <c r="P14" i="6"/>
  <c r="P15" i="6"/>
  <c r="P16" i="6"/>
  <c r="P17" i="6"/>
  <c r="P18" i="6"/>
  <c r="P19" i="6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P5" i="6"/>
  <c r="E158" i="5"/>
  <c r="E185" i="5"/>
  <c r="E212" i="5"/>
  <c r="E239" i="5"/>
  <c r="E266" i="5"/>
  <c r="E293" i="5"/>
  <c r="E320" i="5"/>
  <c r="E347" i="5"/>
  <c r="E374" i="5"/>
  <c r="E401" i="5"/>
  <c r="T40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C397" i="5"/>
  <c r="C396" i="5"/>
  <c r="C395" i="5"/>
  <c r="C394" i="5"/>
  <c r="C393" i="5"/>
  <c r="C392" i="5"/>
  <c r="C390" i="5"/>
  <c r="C389" i="5"/>
  <c r="C388" i="5"/>
  <c r="T375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T356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T357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T358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T359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C370" i="5"/>
  <c r="C369" i="5"/>
  <c r="C368" i="5"/>
  <c r="C367" i="5"/>
  <c r="C366" i="5"/>
  <c r="C365" i="5"/>
  <c r="C363" i="5"/>
  <c r="C362" i="5"/>
  <c r="C361" i="5"/>
  <c r="T348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T329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T330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T331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T332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C343" i="5"/>
  <c r="C342" i="5"/>
  <c r="C341" i="5"/>
  <c r="C340" i="5"/>
  <c r="C339" i="5"/>
  <c r="C338" i="5"/>
  <c r="C336" i="5"/>
  <c r="C335" i="5"/>
  <c r="C334" i="5"/>
  <c r="T321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T302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T303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T304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T305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C316" i="5"/>
  <c r="C315" i="5"/>
  <c r="C314" i="5"/>
  <c r="C313" i="5"/>
  <c r="C312" i="5"/>
  <c r="C311" i="5"/>
  <c r="C309" i="5"/>
  <c r="C308" i="5"/>
  <c r="C307" i="5"/>
  <c r="T294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T275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T276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T277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T278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C289" i="5"/>
  <c r="C288" i="5"/>
  <c r="C287" i="5"/>
  <c r="C286" i="5"/>
  <c r="C285" i="5"/>
  <c r="C284" i="5"/>
  <c r="C282" i="5"/>
  <c r="C281" i="5"/>
  <c r="C280" i="5"/>
  <c r="T267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T248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T249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T250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T251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C262" i="5"/>
  <c r="C261" i="5"/>
  <c r="C260" i="5"/>
  <c r="C259" i="5"/>
  <c r="C258" i="5"/>
  <c r="C257" i="5"/>
  <c r="C255" i="5"/>
  <c r="C254" i="5"/>
  <c r="C253" i="5"/>
  <c r="T24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T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T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T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T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C234" i="5"/>
  <c r="C233" i="5"/>
  <c r="C232" i="5"/>
  <c r="C231" i="5"/>
  <c r="C230" i="5"/>
  <c r="C228" i="5"/>
  <c r="C227" i="5"/>
  <c r="C226" i="5"/>
  <c r="T21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T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T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T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T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C208" i="5"/>
  <c r="C207" i="5"/>
  <c r="C206" i="5"/>
  <c r="C205" i="5"/>
  <c r="C204" i="5"/>
  <c r="C203" i="5"/>
  <c r="C201" i="5"/>
  <c r="C200" i="5"/>
  <c r="C199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T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T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T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T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T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T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T173" i="5"/>
  <c r="T174" i="5"/>
  <c r="T175" i="5"/>
  <c r="T176" i="5"/>
  <c r="T177" i="5"/>
  <c r="T178" i="5"/>
  <c r="T179" i="5"/>
  <c r="T180" i="5"/>
  <c r="T181" i="5"/>
  <c r="T182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C181" i="5"/>
  <c r="C180" i="5"/>
  <c r="C179" i="5"/>
  <c r="C178" i="5"/>
  <c r="C177" i="5"/>
  <c r="C176" i="5"/>
  <c r="C174" i="5"/>
  <c r="T15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T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T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T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T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T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T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T146" i="5"/>
  <c r="T147" i="5"/>
  <c r="T148" i="5"/>
  <c r="T149" i="5"/>
  <c r="T150" i="5"/>
  <c r="T151" i="5"/>
  <c r="T152" i="5"/>
  <c r="T153" i="5"/>
  <c r="T154" i="5"/>
  <c r="T155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C154" i="5"/>
  <c r="C153" i="5"/>
  <c r="C152" i="5"/>
  <c r="C151" i="5"/>
  <c r="C150" i="5"/>
  <c r="C149" i="5"/>
  <c r="C147" i="5"/>
  <c r="T132" i="5"/>
  <c r="T105" i="5"/>
  <c r="T78" i="5"/>
  <c r="T186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30" i="5"/>
  <c r="T131" i="5"/>
  <c r="T51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C8" i="5"/>
  <c r="G90" i="5"/>
  <c r="R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R101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3" i="5"/>
  <c r="T104" i="5"/>
  <c r="A64" i="5"/>
  <c r="A65" i="5"/>
  <c r="A59" i="5"/>
  <c r="A60" i="5"/>
  <c r="A61" i="5"/>
  <c r="A62" i="5"/>
  <c r="A63" i="5"/>
  <c r="A66" i="5"/>
  <c r="A67" i="5"/>
  <c r="A68" i="5"/>
  <c r="A69" i="5"/>
  <c r="A70" i="5"/>
  <c r="A71" i="5"/>
  <c r="A72" i="5"/>
  <c r="A73" i="5"/>
  <c r="C57" i="5" a="1"/>
  <c r="C57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R74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6" i="5"/>
  <c r="T77" i="5"/>
  <c r="C5" i="5"/>
  <c r="C6" i="5"/>
  <c r="R6" i="5"/>
  <c r="C7" i="5"/>
  <c r="R7" i="5"/>
  <c r="R8" i="5"/>
  <c r="C9" i="5"/>
  <c r="R9" i="5"/>
  <c r="C10" i="5"/>
  <c r="R10" i="5"/>
  <c r="R11" i="5"/>
  <c r="C12" i="5"/>
  <c r="R12" i="5"/>
  <c r="C13" i="5"/>
  <c r="R13" i="5"/>
  <c r="C14" i="5"/>
  <c r="R14" i="5"/>
  <c r="C15" i="5"/>
  <c r="R15" i="5"/>
  <c r="C16" i="5"/>
  <c r="R16" i="5"/>
  <c r="C17" i="5"/>
  <c r="R17" i="5"/>
  <c r="C18" i="5"/>
  <c r="R18" i="5"/>
  <c r="C19" i="5"/>
  <c r="R19" i="5"/>
  <c r="R20" i="5"/>
  <c r="A37" i="5"/>
  <c r="A38" i="5"/>
  <c r="A32" i="5"/>
  <c r="A33" i="5"/>
  <c r="A34" i="5"/>
  <c r="A35" i="5"/>
  <c r="A36" i="5"/>
  <c r="A39" i="5"/>
  <c r="A40" i="5"/>
  <c r="A41" i="5"/>
  <c r="A42" i="5"/>
  <c r="A43" i="5"/>
  <c r="A44" i="5"/>
  <c r="A45" i="5"/>
  <c r="A46" i="5"/>
  <c r="C30" i="5" a="1"/>
  <c r="C30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T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T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T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T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T36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T39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T37" i="5"/>
  <c r="T38" i="5"/>
  <c r="T40" i="5"/>
  <c r="T41" i="5"/>
  <c r="T42" i="5"/>
  <c r="T43" i="5"/>
  <c r="T44" i="5"/>
  <c r="T45" i="5"/>
  <c r="T46" i="5"/>
  <c r="T47" i="5"/>
  <c r="T49" i="5"/>
  <c r="T50" i="5"/>
  <c r="B380" i="5"/>
  <c r="B353" i="5"/>
  <c r="B326" i="5"/>
  <c r="B299" i="5"/>
  <c r="B272" i="5"/>
  <c r="B245" i="5"/>
  <c r="B218" i="5"/>
  <c r="B191" i="5"/>
  <c r="B164" i="5"/>
  <c r="B137" i="5"/>
  <c r="B110" i="5"/>
  <c r="B83" i="5"/>
  <c r="B56" i="5"/>
  <c r="B29" i="5"/>
  <c r="C4" i="3"/>
  <c r="B2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2" i="5"/>
  <c r="T23" i="5"/>
  <c r="C3" i="3" a="1"/>
  <c r="C3" i="3"/>
  <c r="A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A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A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A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A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A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A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A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A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A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A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A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A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A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A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R20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2" i="3"/>
  <c r="T23" i="3"/>
  <c r="T24" i="5"/>
  <c r="B33" i="5"/>
  <c r="B34" i="5"/>
  <c r="B9" i="4"/>
  <c r="B35" i="5"/>
  <c r="B10" i="4"/>
  <c r="B36" i="5"/>
  <c r="B11" i="4"/>
  <c r="B37" i="5"/>
  <c r="B12" i="4"/>
  <c r="B38" i="5"/>
  <c r="B13" i="4"/>
  <c r="B39" i="5"/>
  <c r="B14" i="4"/>
  <c r="B40" i="5"/>
  <c r="B15" i="4"/>
  <c r="B41" i="5"/>
  <c r="B16" i="4"/>
  <c r="B42" i="5"/>
  <c r="B17" i="4"/>
  <c r="B43" i="5"/>
  <c r="B18" i="4"/>
  <c r="B44" i="5"/>
  <c r="B19" i="4"/>
  <c r="B45" i="5"/>
  <c r="B20" i="4"/>
  <c r="B46" i="5"/>
  <c r="B32" i="5"/>
  <c r="T52" i="5"/>
  <c r="S47" i="5"/>
  <c r="R47" i="5"/>
  <c r="C31" i="5" a="1"/>
  <c r="C31" i="5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27" i="7"/>
  <c r="F27" i="7"/>
  <c r="B4" i="6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5" i="3"/>
  <c r="B303" i="5"/>
  <c r="B358" i="5"/>
  <c r="A8" i="6"/>
  <c r="B307" i="5"/>
  <c r="B362" i="5"/>
  <c r="A12" i="6"/>
  <c r="B311" i="5"/>
  <c r="B366" i="5"/>
  <c r="A16" i="6"/>
  <c r="B315" i="5"/>
  <c r="B370" i="5"/>
  <c r="L4" i="6"/>
  <c r="P4" i="6"/>
  <c r="H4" i="6"/>
  <c r="D4" i="6"/>
  <c r="I4" i="6"/>
  <c r="M4" i="6"/>
  <c r="E4" i="6"/>
  <c r="O4" i="6"/>
  <c r="K4" i="6"/>
  <c r="G4" i="6"/>
  <c r="C4" i="6"/>
  <c r="N4" i="6"/>
  <c r="J4" i="6"/>
  <c r="F4" i="6"/>
  <c r="B5" i="5"/>
  <c r="B16" i="5"/>
  <c r="B12" i="5"/>
  <c r="B8" i="5"/>
  <c r="B73" i="5"/>
  <c r="B69" i="5"/>
  <c r="B65" i="5"/>
  <c r="B61" i="5"/>
  <c r="B99" i="5"/>
  <c r="B95" i="5"/>
  <c r="B91" i="5"/>
  <c r="B87" i="5"/>
  <c r="B125" i="5"/>
  <c r="B121" i="5"/>
  <c r="B117" i="5"/>
  <c r="B152" i="5"/>
  <c r="B148" i="5"/>
  <c r="B144" i="5"/>
  <c r="B179" i="5"/>
  <c r="B175" i="5"/>
  <c r="B171" i="5"/>
  <c r="B206" i="5"/>
  <c r="B202" i="5"/>
  <c r="B198" i="5"/>
  <c r="B233" i="5"/>
  <c r="B229" i="5"/>
  <c r="B225" i="5"/>
  <c r="B260" i="5"/>
  <c r="B256" i="5"/>
  <c r="B252" i="5"/>
  <c r="B287" i="5"/>
  <c r="B283" i="5"/>
  <c r="B279" i="5"/>
  <c r="B314" i="5"/>
  <c r="B310" i="5"/>
  <c r="B306" i="5"/>
  <c r="B342" i="5"/>
  <c r="B338" i="5"/>
  <c r="B334" i="5"/>
  <c r="B330" i="5"/>
  <c r="B369" i="5"/>
  <c r="B365" i="5"/>
  <c r="B361" i="5"/>
  <c r="B357" i="5"/>
  <c r="B397" i="5"/>
  <c r="B393" i="5"/>
  <c r="B389" i="5"/>
  <c r="B385" i="5"/>
  <c r="A5" i="6"/>
  <c r="A15" i="6"/>
  <c r="A11" i="6"/>
  <c r="A7" i="6"/>
  <c r="B19" i="5"/>
  <c r="B15" i="5"/>
  <c r="B11" i="5"/>
  <c r="B7" i="5"/>
  <c r="B72" i="5"/>
  <c r="B68" i="5"/>
  <c r="B64" i="5"/>
  <c r="B60" i="5"/>
  <c r="B98" i="5"/>
  <c r="B94" i="5"/>
  <c r="B90" i="5"/>
  <c r="B113" i="5"/>
  <c r="B124" i="5"/>
  <c r="B120" i="5"/>
  <c r="B116" i="5"/>
  <c r="B140" i="5"/>
  <c r="B151" i="5"/>
  <c r="B147" i="5"/>
  <c r="B143" i="5"/>
  <c r="B167" i="5"/>
  <c r="B178" i="5"/>
  <c r="B174" i="5"/>
  <c r="B170" i="5"/>
  <c r="B194" i="5"/>
  <c r="B205" i="5"/>
  <c r="B201" i="5"/>
  <c r="B197" i="5"/>
  <c r="B221" i="5"/>
  <c r="B232" i="5"/>
  <c r="B228" i="5"/>
  <c r="B224" i="5"/>
  <c r="B248" i="5"/>
  <c r="B259" i="5"/>
  <c r="B255" i="5"/>
  <c r="B251" i="5"/>
  <c r="B275" i="5"/>
  <c r="B286" i="5"/>
  <c r="B282" i="5"/>
  <c r="B278" i="5"/>
  <c r="B302" i="5"/>
  <c r="B313" i="5"/>
  <c r="B309" i="5"/>
  <c r="B305" i="5"/>
  <c r="B341" i="5"/>
  <c r="B337" i="5"/>
  <c r="B333" i="5"/>
  <c r="B368" i="5"/>
  <c r="B364" i="5"/>
  <c r="B360" i="5"/>
  <c r="B396" i="5"/>
  <c r="B392" i="5"/>
  <c r="B388" i="5"/>
  <c r="B384" i="5"/>
  <c r="A18" i="6"/>
  <c r="A14" i="6"/>
  <c r="A10" i="6"/>
  <c r="A6" i="6"/>
  <c r="B18" i="5"/>
  <c r="B14" i="5"/>
  <c r="B10" i="5"/>
  <c r="B6" i="5"/>
  <c r="B71" i="5"/>
  <c r="B67" i="5"/>
  <c r="B63" i="5"/>
  <c r="B86" i="5"/>
  <c r="B97" i="5"/>
  <c r="B93" i="5"/>
  <c r="B89" i="5"/>
  <c r="B127" i="5"/>
  <c r="B123" i="5"/>
  <c r="B119" i="5"/>
  <c r="B115" i="5"/>
  <c r="B154" i="5"/>
  <c r="B150" i="5"/>
  <c r="B146" i="5"/>
  <c r="B142" i="5"/>
  <c r="B181" i="5"/>
  <c r="B177" i="5"/>
  <c r="B173" i="5"/>
  <c r="B169" i="5"/>
  <c r="B208" i="5"/>
  <c r="B204" i="5"/>
  <c r="B200" i="5"/>
  <c r="B196" i="5"/>
  <c r="B235" i="5"/>
  <c r="B231" i="5"/>
  <c r="B227" i="5"/>
  <c r="B223" i="5"/>
  <c r="B262" i="5"/>
  <c r="B258" i="5"/>
  <c r="B254" i="5"/>
  <c r="B250" i="5"/>
  <c r="B289" i="5"/>
  <c r="B285" i="5"/>
  <c r="B281" i="5"/>
  <c r="B277" i="5"/>
  <c r="B316" i="5"/>
  <c r="B312" i="5"/>
  <c r="B308" i="5"/>
  <c r="B304" i="5"/>
  <c r="B329" i="5"/>
  <c r="B340" i="5"/>
  <c r="B336" i="5"/>
  <c r="B332" i="5"/>
  <c r="B356" i="5"/>
  <c r="B367" i="5"/>
  <c r="B363" i="5"/>
  <c r="B359" i="5"/>
  <c r="B395" i="5"/>
  <c r="B391" i="5"/>
  <c r="B387" i="5"/>
  <c r="A17" i="6"/>
  <c r="A13" i="6"/>
  <c r="A9" i="6"/>
  <c r="A19" i="6"/>
  <c r="B17" i="5"/>
  <c r="B13" i="5"/>
  <c r="B9" i="5"/>
  <c r="B59" i="5"/>
  <c r="B70" i="5"/>
  <c r="B66" i="5"/>
  <c r="B62" i="5"/>
  <c r="B100" i="5"/>
  <c r="B96" i="5"/>
  <c r="B92" i="5"/>
  <c r="B88" i="5"/>
  <c r="B126" i="5"/>
  <c r="B122" i="5"/>
  <c r="B118" i="5"/>
  <c r="B114" i="5"/>
  <c r="B153" i="5"/>
  <c r="B149" i="5"/>
  <c r="B145" i="5"/>
  <c r="B141" i="5"/>
  <c r="B180" i="5"/>
  <c r="B176" i="5"/>
  <c r="B172" i="5"/>
  <c r="B168" i="5"/>
  <c r="B207" i="5"/>
  <c r="B203" i="5"/>
  <c r="B199" i="5"/>
  <c r="B195" i="5"/>
  <c r="B234" i="5"/>
  <c r="B230" i="5"/>
  <c r="B226" i="5"/>
  <c r="B222" i="5"/>
  <c r="B261" i="5"/>
  <c r="B257" i="5"/>
  <c r="B253" i="5"/>
  <c r="B249" i="5"/>
  <c r="B288" i="5"/>
  <c r="B284" i="5"/>
  <c r="B280" i="5"/>
  <c r="B276" i="5"/>
  <c r="B343" i="5"/>
  <c r="B339" i="5"/>
  <c r="B335" i="5"/>
  <c r="B331" i="5"/>
  <c r="B383" i="5"/>
  <c r="B394" i="5"/>
  <c r="B390" i="5"/>
  <c r="B386" i="5"/>
  <c r="C139" i="5" a="1"/>
  <c r="C139" i="5"/>
  <c r="C220" i="5" a="1"/>
  <c r="C220" i="5"/>
  <c r="C112" i="5" a="1"/>
  <c r="C112" i="5"/>
  <c r="C4" i="5" a="1"/>
  <c r="C4" i="5"/>
  <c r="C382" i="5" a="1"/>
  <c r="C382" i="5"/>
  <c r="C247" i="5" a="1"/>
  <c r="C247" i="5"/>
  <c r="C58" i="5" a="1"/>
  <c r="C58" i="5"/>
  <c r="C166" i="5" a="1"/>
  <c r="C166" i="5"/>
  <c r="C328" i="5" a="1"/>
  <c r="C328" i="5"/>
  <c r="C274" i="5" a="1"/>
  <c r="C274" i="5"/>
  <c r="C193" i="5" a="1"/>
  <c r="C193" i="5"/>
  <c r="C85" i="5" a="1"/>
  <c r="C85" i="5"/>
  <c r="C355" i="5" a="1"/>
  <c r="C355" i="5"/>
  <c r="C301" i="5" a="1"/>
  <c r="C301" i="5"/>
  <c r="D9" i="6"/>
  <c r="D14" i="6"/>
  <c r="Q15" i="6"/>
  <c r="D17" i="6"/>
  <c r="D12" i="6"/>
  <c r="D11" i="6"/>
  <c r="D16" i="6"/>
  <c r="D19" i="6"/>
  <c r="D15" i="6"/>
  <c r="D6" i="6"/>
  <c r="D10" i="6"/>
  <c r="D7" i="6"/>
  <c r="R317" i="5"/>
  <c r="R182" i="5"/>
  <c r="H9" i="6"/>
  <c r="D5" i="6"/>
  <c r="R236" i="5"/>
  <c r="D18" i="6"/>
  <c r="D8" i="6"/>
  <c r="D13" i="6"/>
  <c r="R398" i="5"/>
  <c r="R263" i="5"/>
  <c r="K11" i="6"/>
  <c r="R155" i="5"/>
  <c r="G15" i="6"/>
  <c r="R371" i="5"/>
  <c r="O16" i="6"/>
  <c r="R290" i="5"/>
  <c r="L15" i="6"/>
  <c r="R209" i="5"/>
  <c r="I7" i="6"/>
  <c r="R344" i="5"/>
  <c r="N19" i="6"/>
  <c r="F12" i="6"/>
  <c r="B18" i="6"/>
  <c r="B11" i="6"/>
  <c r="B9" i="6"/>
  <c r="B7" i="6"/>
  <c r="B14" i="6"/>
  <c r="B16" i="6"/>
  <c r="B15" i="6"/>
  <c r="B6" i="6"/>
  <c r="B13" i="6"/>
  <c r="B17" i="6"/>
  <c r="B19" i="6"/>
  <c r="B5" i="6"/>
  <c r="B8" i="6"/>
  <c r="B12" i="6"/>
  <c r="B10" i="6"/>
  <c r="Q9" i="6"/>
  <c r="Q12" i="6"/>
  <c r="Q5" i="6"/>
  <c r="Q18" i="6"/>
  <c r="Q6" i="6"/>
  <c r="Q17" i="6"/>
  <c r="Q11" i="6"/>
  <c r="Q19" i="6"/>
  <c r="Q8" i="6"/>
  <c r="Q7" i="6"/>
  <c r="Q14" i="6"/>
  <c r="Q16" i="6"/>
  <c r="Q10" i="6"/>
  <c r="Q13" i="6"/>
  <c r="E15" i="6"/>
  <c r="K12" i="6"/>
  <c r="E7" i="6"/>
  <c r="H8" i="6"/>
  <c r="K14" i="6"/>
  <c r="E13" i="6"/>
  <c r="E9" i="6"/>
  <c r="E11" i="6"/>
  <c r="E19" i="6"/>
  <c r="E6" i="6"/>
  <c r="E17" i="6"/>
  <c r="J13" i="6"/>
  <c r="E18" i="6"/>
  <c r="E12" i="6"/>
  <c r="M11" i="6"/>
  <c r="M7" i="6"/>
  <c r="E14" i="6"/>
  <c r="E8" i="6"/>
  <c r="E10" i="6"/>
  <c r="M19" i="6"/>
  <c r="M9" i="6"/>
  <c r="O17" i="6"/>
  <c r="K7" i="6"/>
  <c r="K15" i="6"/>
  <c r="H11" i="6"/>
  <c r="H6" i="6"/>
  <c r="H19" i="6"/>
  <c r="M6" i="6"/>
  <c r="M14" i="6"/>
  <c r="M16" i="6"/>
  <c r="M10" i="6"/>
  <c r="M13" i="6"/>
  <c r="H15" i="6"/>
  <c r="J17" i="6"/>
  <c r="J12" i="6"/>
  <c r="J16" i="6"/>
  <c r="J18" i="6"/>
  <c r="J8" i="6"/>
  <c r="J19" i="6"/>
  <c r="M15" i="6"/>
  <c r="J7" i="6"/>
  <c r="J9" i="6"/>
  <c r="J10" i="6"/>
  <c r="J14" i="6"/>
  <c r="J11" i="6"/>
  <c r="K17" i="6"/>
  <c r="K9" i="6"/>
  <c r="K19" i="6"/>
  <c r="M12" i="6"/>
  <c r="K6" i="6"/>
  <c r="J15" i="6"/>
  <c r="M5" i="6"/>
  <c r="E5" i="6"/>
  <c r="J5" i="6"/>
  <c r="O8" i="6"/>
  <c r="G6" i="6"/>
  <c r="O13" i="6"/>
  <c r="N10" i="6"/>
  <c r="N15" i="6"/>
  <c r="N9" i="6"/>
  <c r="L12" i="6"/>
  <c r="O19" i="6"/>
  <c r="I13" i="6"/>
  <c r="L16" i="6"/>
  <c r="G12" i="6"/>
  <c r="O11" i="6"/>
  <c r="O9" i="6"/>
  <c r="G16" i="6"/>
  <c r="K10" i="6"/>
  <c r="I10" i="6"/>
  <c r="O14" i="6"/>
  <c r="H13" i="6"/>
  <c r="L7" i="6"/>
  <c r="I15" i="6"/>
  <c r="G7" i="6"/>
  <c r="H10" i="6"/>
  <c r="G11" i="6"/>
  <c r="K16" i="6"/>
  <c r="N18" i="6"/>
  <c r="L13" i="6"/>
  <c r="K18" i="6"/>
  <c r="G8" i="6"/>
  <c r="G9" i="6"/>
  <c r="N7" i="6"/>
  <c r="I14" i="6"/>
  <c r="L18" i="6"/>
  <c r="O10" i="6"/>
  <c r="J6" i="6"/>
  <c r="H14" i="6"/>
  <c r="I6" i="6"/>
  <c r="L10" i="6"/>
  <c r="K13" i="6"/>
  <c r="M18" i="6"/>
  <c r="N12" i="6"/>
  <c r="N14" i="6"/>
  <c r="M8" i="6"/>
  <c r="N6" i="6"/>
  <c r="I8" i="6"/>
  <c r="L8" i="6"/>
  <c r="L6" i="6"/>
  <c r="O6" i="6"/>
  <c r="S74" i="5"/>
  <c r="L9" i="6"/>
  <c r="N13" i="6"/>
  <c r="G14" i="6"/>
  <c r="O18" i="6"/>
  <c r="I19" i="6"/>
  <c r="L11" i="6"/>
  <c r="I12" i="6"/>
  <c r="I16" i="6"/>
  <c r="G17" i="6"/>
  <c r="G18" i="6"/>
  <c r="I18" i="6"/>
  <c r="N16" i="6"/>
  <c r="K8" i="6"/>
  <c r="O7" i="6"/>
  <c r="G10" i="6"/>
  <c r="N17" i="6"/>
  <c r="O12" i="6"/>
  <c r="N8" i="6"/>
  <c r="G13" i="6"/>
  <c r="H12" i="6"/>
  <c r="H16" i="6"/>
  <c r="L19" i="6"/>
  <c r="I9" i="6"/>
  <c r="H7" i="6"/>
  <c r="L17" i="6"/>
  <c r="O15" i="6"/>
  <c r="N11" i="6"/>
  <c r="M17" i="6"/>
  <c r="I11" i="6"/>
  <c r="H18" i="6"/>
  <c r="H17" i="6"/>
  <c r="I17" i="6"/>
  <c r="L14" i="6"/>
  <c r="E16" i="6"/>
  <c r="G19" i="6"/>
  <c r="F6" i="6"/>
  <c r="F13" i="6"/>
  <c r="F11" i="6"/>
  <c r="F14" i="6"/>
  <c r="F10" i="6"/>
  <c r="F19" i="6"/>
  <c r="F15" i="6"/>
  <c r="F8" i="6"/>
  <c r="F16" i="6"/>
  <c r="F9" i="6"/>
  <c r="F17" i="6"/>
  <c r="F18" i="6"/>
  <c r="F7" i="6"/>
  <c r="S20" i="5"/>
  <c r="S20" i="3"/>
  <c r="S398" i="5"/>
  <c r="S344" i="5"/>
  <c r="S155" i="5"/>
  <c r="S182" i="5"/>
  <c r="S263" i="5"/>
  <c r="S290" i="5"/>
  <c r="S317" i="5"/>
  <c r="L5" i="6"/>
  <c r="I5" i="6"/>
  <c r="H5" i="6"/>
  <c r="K5" i="6"/>
  <c r="G5" i="6"/>
  <c r="S209" i="5"/>
  <c r="S236" i="5"/>
  <c r="O5" i="6"/>
  <c r="N5" i="6"/>
  <c r="S128" i="5"/>
  <c r="F5" i="6"/>
  <c r="T79" i="5"/>
  <c r="T25" i="5"/>
  <c r="T25" i="3"/>
  <c r="T292" i="5"/>
  <c r="T293" i="5"/>
  <c r="T295" i="5"/>
  <c r="T157" i="5"/>
  <c r="T158" i="5"/>
  <c r="T160" i="5"/>
  <c r="T184" i="5"/>
  <c r="T185" i="5"/>
  <c r="T187" i="5"/>
  <c r="T346" i="5"/>
  <c r="T347" i="5"/>
  <c r="T349" i="5"/>
  <c r="T373" i="5"/>
  <c r="T374" i="5"/>
  <c r="T376" i="5"/>
  <c r="T106" i="5"/>
  <c r="T400" i="5"/>
  <c r="T401" i="5"/>
  <c r="T403" i="5"/>
  <c r="T265" i="5"/>
  <c r="T266" i="5"/>
  <c r="T268" i="5"/>
  <c r="T211" i="5"/>
  <c r="T212" i="5"/>
  <c r="T214" i="5"/>
  <c r="T238" i="5"/>
  <c r="T239" i="5"/>
  <c r="T241" i="5"/>
  <c r="T319" i="5"/>
  <c r="T320" i="5"/>
  <c r="T322" i="5"/>
  <c r="T133" i="5"/>
  <c r="C7" i="6"/>
  <c r="R7" i="6"/>
  <c r="G29" i="7"/>
  <c r="C19" i="6"/>
  <c r="R19" i="6"/>
  <c r="G41" i="7"/>
  <c r="C14" i="6"/>
  <c r="R14" i="6"/>
  <c r="G36" i="7"/>
  <c r="C17" i="6"/>
  <c r="R17" i="6"/>
  <c r="G39" i="7"/>
  <c r="C18" i="6"/>
  <c r="R18" i="6"/>
  <c r="G40" i="7"/>
  <c r="C16" i="6"/>
  <c r="R16" i="6"/>
  <c r="G38" i="7"/>
  <c r="C12" i="6"/>
  <c r="R12" i="6"/>
  <c r="G34" i="7"/>
  <c r="C8" i="6"/>
  <c r="R8" i="6"/>
  <c r="G30" i="7"/>
  <c r="C15" i="6"/>
  <c r="R15" i="6"/>
  <c r="G37" i="7"/>
  <c r="C13" i="6"/>
  <c r="R13" i="6"/>
  <c r="G35" i="7"/>
  <c r="C10" i="6"/>
  <c r="R10" i="6"/>
  <c r="G32" i="7"/>
  <c r="C6" i="6"/>
  <c r="R6" i="6"/>
  <c r="G28" i="7"/>
  <c r="C9" i="6"/>
  <c r="R9" i="6"/>
  <c r="G31" i="7"/>
  <c r="C11" i="6"/>
  <c r="R11" i="6"/>
  <c r="G33" i="7"/>
  <c r="C5" i="6"/>
  <c r="R5" i="6"/>
  <c r="G27" i="7"/>
  <c r="E7" i="7" a="1"/>
  <c r="E7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7" i="7"/>
  <c r="F7" i="7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<sst xmlns="http://schemas.openxmlformats.org/spreadsheetml/2006/main" count="296" uniqueCount="92">
  <si>
    <r>
      <t xml:space="preserve">INPUT JUMLAH </t>
    </r>
    <r>
      <rPr>
        <b/>
        <i/>
        <sz val="11"/>
        <color theme="1"/>
        <rFont val="Calibri"/>
        <family val="2"/>
        <scheme val="minor"/>
      </rPr>
      <t>CANDIDATE CHALLENGES</t>
    </r>
  </si>
  <si>
    <t>MINIMUM    3 CHALLANGES</t>
  </si>
  <si>
    <t>Challenges</t>
  </si>
  <si>
    <t>MAXIMUM 15 CHALLANGES</t>
  </si>
  <si>
    <t>NO</t>
  </si>
  <si>
    <t>NAMA CHALLANGES</t>
  </si>
  <si>
    <t>KODE CHALLENGES</t>
  </si>
  <si>
    <t>Note :</t>
  </si>
  <si>
    <r>
      <t xml:space="preserve">Ketik </t>
    </r>
    <r>
      <rPr>
        <b/>
        <sz val="11"/>
        <color theme="1"/>
        <rFont val="Calibri"/>
        <family val="2"/>
        <scheme val="minor"/>
      </rPr>
      <t>"Nama Challanges"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"Kode Challenges"</t>
    </r>
    <r>
      <rPr>
        <sz val="11"/>
        <color theme="1"/>
        <rFont val="Calibri"/>
        <family val="2"/>
        <scheme val="minor"/>
      </rPr>
      <t xml:space="preserve"> pada Cell yang warna </t>
    </r>
    <r>
      <rPr>
        <b/>
        <sz val="11"/>
        <color rgb="FF002060"/>
        <rFont val="Calibri"/>
        <family val="2"/>
        <scheme val="minor"/>
      </rPr>
      <t>"BIRU"</t>
    </r>
  </si>
  <si>
    <r>
      <rPr>
        <b/>
        <sz val="11"/>
        <color theme="1"/>
        <rFont val="Calibri"/>
        <family val="2"/>
        <scheme val="minor"/>
      </rPr>
      <t>Kode Challenges</t>
    </r>
    <r>
      <rPr>
        <sz val="11"/>
        <color theme="1"/>
        <rFont val="Calibri"/>
        <family val="2"/>
        <scheme val="minor"/>
      </rPr>
      <t xml:space="preserve"> disesuaikan dengan inisial nama challenges</t>
    </r>
  </si>
  <si>
    <t>INPUT JUMLAH KRITERIA UNTUK PENENTUAN PERINGKAT</t>
  </si>
  <si>
    <t>MINIMUM</t>
  </si>
  <si>
    <t>Kriteria</t>
  </si>
  <si>
    <t>MAXIMUM</t>
  </si>
  <si>
    <t>No</t>
  </si>
  <si>
    <t>Nama Kriteria</t>
  </si>
  <si>
    <t>Kode Kriteria</t>
  </si>
  <si>
    <t>Bobot Kriteria</t>
  </si>
  <si>
    <t>Ketik kode kriteria sesuai inisial kriteria</t>
  </si>
  <si>
    <t>DATA KRITERIA PENDUKUNG PENENTUAN PERINGKAT CHALLENGES</t>
  </si>
  <si>
    <t>Note : Data kriteria diisi sesuai data primer di lokasi,data sekunder dan atau keputusan pakar untuk nilai yang sesuai</t>
  </si>
  <si>
    <t>KRT</t>
  </si>
  <si>
    <r>
      <rPr>
        <b/>
        <sz val="11"/>
        <color theme="8" tint="-0.499984740745262"/>
        <rFont val="Calibri"/>
        <family val="2"/>
        <scheme val="minor"/>
      </rPr>
      <t>Data kriteria diinput harus bernilai angka</t>
    </r>
    <r>
      <rPr>
        <b/>
        <sz val="11"/>
        <color rgb="FFFF0000"/>
        <rFont val="Calibri"/>
        <family val="2"/>
        <scheme val="minor"/>
      </rPr>
      <t xml:space="preserve"> dan tidak boleh bernilai angka 1 (Satu) kecuali Cell warna Merah</t>
    </r>
  </si>
  <si>
    <t>CHL</t>
  </si>
  <si>
    <t>HASIL AKHIR PERHITUNGAN MEMBUAT KEPUTUSAN METODE AHP</t>
  </si>
  <si>
    <t>PERINGKAT</t>
  </si>
  <si>
    <r>
      <t xml:space="preserve">NAMA </t>
    </r>
    <r>
      <rPr>
        <b/>
        <i/>
        <sz val="11"/>
        <color theme="1"/>
        <rFont val="Calibri"/>
        <family val="2"/>
        <scheme val="minor"/>
      </rPr>
      <t>CHALLENGES</t>
    </r>
  </si>
  <si>
    <t>KODE CHALLS</t>
  </si>
  <si>
    <t>NILAI</t>
  </si>
  <si>
    <t>DATA SEBELUM SORT</t>
  </si>
  <si>
    <t>NAMA LOKASI/DAERAH DD</t>
  </si>
  <si>
    <t>KODE LOKASI</t>
  </si>
  <si>
    <t>MATRIK BOBOT KRITERIA</t>
  </si>
  <si>
    <t>###</t>
  </si>
  <si>
    <r>
      <rPr>
        <b/>
        <sz val="12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th root</t>
    </r>
  </si>
  <si>
    <t>Eigenvector</t>
  </si>
  <si>
    <t>Eigenvelue</t>
  </si>
  <si>
    <t>λ avg</t>
  </si>
  <si>
    <t>TABEL RANDOM INDEX SAATY</t>
  </si>
  <si>
    <t>CI</t>
  </si>
  <si>
    <t>RI</t>
  </si>
  <si>
    <t>N</t>
  </si>
  <si>
    <t>CR</t>
  </si>
  <si>
    <t>Konsisten</t>
  </si>
  <si>
    <t>IF CR &lt; 1</t>
  </si>
  <si>
    <t>PERHITUNGAN EIGENVECTOR DAN KONSISTENSI DATA SETIAP KRITERIA</t>
  </si>
  <si>
    <t xml:space="preserve">KRITERIA </t>
  </si>
  <si>
    <t>nth root</t>
  </si>
  <si>
    <t>Eigen value</t>
  </si>
  <si>
    <t>λ avg/max</t>
  </si>
  <si>
    <t>MATRIK PERHITUNGAN PERINGKAT CHALLENGES</t>
  </si>
  <si>
    <t>Kode Challs</t>
  </si>
  <si>
    <t>Eigen Vector Challenges Setiap Kriteria</t>
  </si>
  <si>
    <t>EV Bobot</t>
  </si>
  <si>
    <t>HASIL</t>
  </si>
  <si>
    <t>KRITERIA</t>
  </si>
  <si>
    <t>FINAL</t>
  </si>
  <si>
    <t>Nama Kegiatan Perhitungan AHP (disesuaikan di sini)</t>
  </si>
  <si>
    <t>Ketik Nama Kegiatan Perhitungan AHP (disesuaikan di sini) pada sheet Challanges</t>
  </si>
  <si>
    <t>Input jumlah kriteria pada cell warna biru</t>
  </si>
  <si>
    <t>Input nama, kode dan bobot kriteria pada cell warna biru</t>
  </si>
  <si>
    <t>Bobot &amp;</t>
  </si>
  <si>
    <t>Sheet</t>
  </si>
  <si>
    <t>Data Kriteria</t>
  </si>
  <si>
    <t>Keterangan</t>
  </si>
  <si>
    <t>Input jumlah candidate challanges pada cell warna biru</t>
  </si>
  <si>
    <t>Input nama challanges dan kode challanges pada cell yang berwarna biru</t>
  </si>
  <si>
    <t>Challanges</t>
  </si>
  <si>
    <t>Apabila terjadi keanehan dalam tampilan hasil akhir, periksa CR setiap Eigen Vector Kriteria</t>
  </si>
  <si>
    <t>Eig Vec</t>
  </si>
  <si>
    <t>Tampilan hasil perhitungan Eigen Vector Bobot Kriteria</t>
  </si>
  <si>
    <t>FINAL MATRIK</t>
  </si>
  <si>
    <t>Tampilan hasil perhitungan Eigen Vector challenges setiap Kriteria</t>
  </si>
  <si>
    <t>Perkalian matrik eigen vector challenges dengan eigen vector bobot kriteria yang menghasilkan</t>
  </si>
  <si>
    <t>nilai untuk dapat diurutkan menjadi peringkat pada sheet PERINGKAT</t>
  </si>
  <si>
    <t>Tampilan hasil akhir dari perhitungan AHP (Urutan Peringkat Chalanges)</t>
  </si>
  <si>
    <t>Input data nilai kriteria setiap challanges pada cell warna biru yang sesuai</t>
  </si>
  <si>
    <t>Program MCDM metode AHP ini untuk mendukung pengambilan keputusan dari</t>
  </si>
  <si>
    <t>beberapa pilihan challenges dan didukung dengan beberapa kriteria pendukung.</t>
  </si>
  <si>
    <t>Perhitungan untuk mengambil keputusan melalui beberapa tahap seperti</t>
  </si>
  <si>
    <t>keterangan panduan di samping.</t>
  </si>
  <si>
    <t>PANDUAN MENGOPERASIKAN PROGRAM DASAR PERHITUNGAN MCDM METODE AHP (Analityc Hierarchy Process)</t>
  </si>
  <si>
    <r>
      <t xml:space="preserve">Kolom B adalah kode challenges otomatis tertulis (copy dari sheet </t>
    </r>
    <r>
      <rPr>
        <b/>
        <sz val="11"/>
        <color theme="1"/>
        <rFont val="Calibri"/>
        <family val="2"/>
        <scheme val="minor"/>
      </rPr>
      <t>Chalanges</t>
    </r>
    <r>
      <rPr>
        <sz val="11"/>
        <color theme="1"/>
        <rFont val="Calibri"/>
        <family val="2"/>
        <scheme val="minor"/>
      </rPr>
      <t>)</t>
    </r>
  </si>
  <si>
    <r>
      <t xml:space="preserve">Baris 5 adalah kode kriteria otomatis tertulis (copy dari sheet </t>
    </r>
    <r>
      <rPr>
        <b/>
        <sz val="11"/>
        <color theme="1"/>
        <rFont val="Calibri"/>
        <family val="2"/>
        <scheme val="minor"/>
      </rPr>
      <t>Kriteria&amp;Bobot</t>
    </r>
    <r>
      <rPr>
        <sz val="11"/>
        <color theme="1"/>
        <rFont val="Calibri"/>
        <family val="2"/>
        <scheme val="minor"/>
      </rPr>
      <t>)</t>
    </r>
  </si>
  <si>
    <t>Input "Bobot Kriteria" minimum nilai 2 (&gt; 1) ===&gt; NILAI BOBOT DARI PAKAR KOMPETEN</t>
  </si>
  <si>
    <t>&lt;===</t>
  </si>
  <si>
    <r>
      <t xml:space="preserve">Ketik nama, kode, bobot kriteria pada Cell yang berwarna </t>
    </r>
    <r>
      <rPr>
        <b/>
        <sz val="11"/>
        <color theme="4" tint="-0.249977111117893"/>
        <rFont val="Calibri"/>
        <family val="2"/>
        <scheme val="minor"/>
      </rPr>
      <t>Biru</t>
    </r>
  </si>
  <si>
    <r>
      <rPr>
        <b/>
        <sz val="11"/>
        <color rgb="FFFF0000"/>
        <rFont val="Calibri"/>
        <family val="2"/>
        <scheme val="minor"/>
      </rPr>
      <t>Angka 1 (Satu)</t>
    </r>
    <r>
      <rPr>
        <sz val="11"/>
        <color theme="1"/>
        <rFont val="Calibri"/>
        <family val="2"/>
        <scheme val="minor"/>
      </rPr>
      <t xml:space="preserve"> pada Cell warna </t>
    </r>
    <r>
      <rPr>
        <b/>
        <sz val="11"/>
        <color rgb="FFC00000"/>
        <rFont val="Calibri"/>
        <family val="2"/>
        <scheme val="minor"/>
      </rPr>
      <t>Merah</t>
    </r>
    <r>
      <rPr>
        <sz val="11"/>
        <color theme="1"/>
        <rFont val="Calibri"/>
        <family val="2"/>
        <scheme val="minor"/>
      </rPr>
      <t xml:space="preserve"> (kolom </t>
    </r>
    <r>
      <rPr>
        <b/>
        <sz val="11"/>
        <color theme="1"/>
        <rFont val="Calibri"/>
        <family val="2"/>
        <scheme val="minor"/>
      </rPr>
      <t>Bobot Kriteria</t>
    </r>
    <r>
      <rPr>
        <sz val="11"/>
        <color theme="1"/>
        <rFont val="Calibri"/>
        <family val="2"/>
        <scheme val="minor"/>
      </rPr>
      <t>) tidak boleh diubah</t>
    </r>
  </si>
  <si>
    <t>Periksa CR (Consistency Ratio) dari hasil perhitungan, jika CR &lt; 1 maka data dan hasil eigen vector</t>
  </si>
  <si>
    <r>
      <t xml:space="preserve">Input jumlah candidate challenges pada </t>
    </r>
    <r>
      <rPr>
        <b/>
        <sz val="11"/>
        <color theme="1"/>
        <rFont val="Calibri"/>
        <family val="2"/>
        <scheme val="minor"/>
      </rPr>
      <t>cell D4</t>
    </r>
  </si>
  <si>
    <t>sudah memenuhi syarat dan perhitungan dapat dilanjutkan, jika &gt; 1 maka periksa data Bobot</t>
  </si>
  <si>
    <t>sudah memenuhi syarat dan perhitungan dapat dilanjutkan, jika &gt; 1 maka periksa data Kriteria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</si>
</sst>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1" fillId="0" borderId="0" xfId="0" applyFont="1"/>
    <xf numFmtId="0" fontId="3" fillId="0" borderId="1" xfId="0" applyFont="1" applyBorder="1"/>
    <xf numFmtId="0" fontId="1" fillId="0" borderId="1" xfId="0" applyFont="1" applyBorder="1"/>
    <xf numFmtId="16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/>
    <xf numFmtId="0" fontId="4" fillId="0" borderId="0" xfId="0" applyFon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0" fontId="0" fillId="6" borderId="0" xfId="0" applyFill="1"/>
    <xf numFmtId="164" fontId="6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4" fontId="1" fillId="0" borderId="1" xfId="0" applyNumberFormat="1" applyFont="1" applyBorder="1"/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5" borderId="1" xfId="0" applyNumberFormat="1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5" borderId="1" xfId="0" applyNumberFormat="1" applyFill="1" applyBorder="1"/>
    <xf numFmtId="164" fontId="0" fillId="4" borderId="1" xfId="0" applyNumberForma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1" xfId="0" applyFill="1" applyBorder="1"/>
    <xf numFmtId="0" fontId="1" fillId="5" borderId="1" xfId="0" applyFont="1" applyFill="1" applyBorder="1" applyAlignment="1">
      <alignment horizontal="center"/>
    </xf>
    <xf numFmtId="0" fontId="9" fillId="0" borderId="0" xfId="0" applyFont="1"/>
    <xf numFmtId="0" fontId="1" fillId="7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6" fillId="2" borderId="1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2" fontId="0" fillId="5" borderId="1" xfId="0" applyNumberFormat="1" applyFill="1" applyBorder="1"/>
    <xf numFmtId="0" fontId="1" fillId="8" borderId="1" xfId="0" applyFont="1" applyFill="1" applyBorder="1"/>
    <xf numFmtId="0" fontId="1" fillId="8" borderId="0" xfId="0" applyFont="1" applyFill="1"/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0" borderId="0" xfId="0" applyFill="1"/>
    <xf numFmtId="0" fontId="1" fillId="10" borderId="1" xfId="0" applyFont="1" applyFill="1" applyBorder="1" applyAlignment="1">
      <alignment horizontal="center"/>
    </xf>
    <xf numFmtId="0" fontId="0" fillId="10" borderId="1" xfId="0" applyFill="1" applyBorder="1"/>
    <xf numFmtId="0" fontId="10" fillId="0" borderId="0" xfId="0" applyFont="1"/>
    <xf numFmtId="0" fontId="1" fillId="11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0" xfId="0" applyFont="1" applyFill="1" applyAlignment="1">
      <alignment horizontal="center" vertical="center"/>
    </xf>
    <xf numFmtId="0" fontId="1" fillId="5" borderId="1" xfId="0" applyFont="1" applyFill="1" applyBorder="1" applyAlignment="1" applyProtection="1">
      <alignment horizontal="center"/>
      <protection locked="0"/>
    </xf>
    <xf numFmtId="0" fontId="10" fillId="0" borderId="8" xfId="0" applyFont="1" applyBorder="1"/>
    <xf numFmtId="0" fontId="6" fillId="9" borderId="22" xfId="0" applyFont="1" applyFill="1" applyBorder="1" applyAlignment="1" applyProtection="1">
      <alignment horizontal="center"/>
      <protection locked="0"/>
    </xf>
    <xf numFmtId="0" fontId="6" fillId="9" borderId="25" xfId="0" applyFont="1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1" fillId="14" borderId="18" xfId="0" applyFont="1" applyFill="1" applyBorder="1" applyAlignment="1">
      <alignment horizontal="center"/>
    </xf>
    <xf numFmtId="0" fontId="1" fillId="14" borderId="19" xfId="0" applyFont="1" applyFill="1" applyBorder="1" applyAlignment="1">
      <alignment horizontal="center"/>
    </xf>
    <xf numFmtId="0" fontId="1" fillId="14" borderId="20" xfId="0" applyFont="1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  <xf numFmtId="0" fontId="12" fillId="13" borderId="32" xfId="0" applyFont="1" applyFill="1" applyBorder="1" applyAlignment="1">
      <alignment horizontal="center"/>
    </xf>
    <xf numFmtId="2" fontId="6" fillId="5" borderId="1" xfId="0" applyNumberFormat="1" applyFont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7" fillId="9" borderId="21" xfId="0" applyFont="1" applyFill="1" applyBorder="1" applyAlignment="1">
      <alignment horizontal="center"/>
    </xf>
    <xf numFmtId="0" fontId="0" fillId="4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64" fontId="1" fillId="5" borderId="3" xfId="0" applyNumberFormat="1" applyFont="1" applyFill="1" applyBorder="1" applyAlignment="1">
      <alignment horizontal="center"/>
    </xf>
    <xf numFmtId="164" fontId="1" fillId="5" borderId="13" xfId="0" applyNumberFormat="1" applyFont="1" applyFill="1" applyBorder="1" applyAlignment="1">
      <alignment horizontal="center"/>
    </xf>
    <xf numFmtId="2" fontId="0" fillId="5" borderId="0" xfId="0" applyNumberFormat="1" applyFill="1"/>
    <xf numFmtId="164" fontId="6" fillId="2" borderId="1" xfId="0" applyNumberFormat="1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8" borderId="13" xfId="0" applyFont="1" applyFill="1" applyBorder="1"/>
    <xf numFmtId="0" fontId="0" fillId="0" borderId="1" xfId="0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6" fillId="9" borderId="1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left"/>
      <protection locked="0"/>
    </xf>
    <xf numFmtId="0" fontId="6" fillId="9" borderId="24" xfId="0" applyFont="1" applyFill="1" applyBorder="1" applyAlignment="1" applyProtection="1">
      <alignment horizontal="left"/>
      <protection locked="0"/>
    </xf>
    <xf numFmtId="0" fontId="1" fillId="15" borderId="1" xfId="0" applyFont="1" applyFill="1" applyBorder="1" applyAlignment="1">
      <alignment horizontal="center"/>
    </xf>
    <xf numFmtId="0" fontId="1" fillId="6" borderId="17" xfId="0" applyFont="1" applyFill="1" applyBorder="1"/>
    <xf numFmtId="0" fontId="1" fillId="6" borderId="34" xfId="0" applyFont="1" applyFill="1" applyBorder="1"/>
    <xf numFmtId="0" fontId="1" fillId="6" borderId="3" xfId="0" applyFont="1" applyFill="1" applyBorder="1"/>
    <xf numFmtId="0" fontId="0" fillId="7" borderId="33" xfId="0" applyFill="1" applyBorder="1"/>
    <xf numFmtId="0" fontId="0" fillId="7" borderId="35" xfId="0" applyFill="1" applyBorder="1"/>
    <xf numFmtId="0" fontId="0" fillId="7" borderId="36" xfId="0" applyFill="1" applyBorder="1"/>
    <xf numFmtId="0" fontId="0" fillId="7" borderId="37" xfId="0" applyFill="1" applyBorder="1"/>
    <xf numFmtId="0" fontId="0" fillId="7" borderId="0" xfId="0" applyFill="1"/>
    <xf numFmtId="0" fontId="0" fillId="7" borderId="38" xfId="0" applyFill="1" applyBorder="1"/>
    <xf numFmtId="0" fontId="0" fillId="7" borderId="28" xfId="0" applyFill="1" applyBorder="1"/>
    <xf numFmtId="0" fontId="0" fillId="7" borderId="29" xfId="0" applyFill="1" applyBorder="1"/>
    <xf numFmtId="0" fontId="0" fillId="7" borderId="30" xfId="0" applyFill="1" applyBorder="1"/>
    <xf numFmtId="0" fontId="0" fillId="11" borderId="0" xfId="0" applyFill="1"/>
    <xf numFmtId="0" fontId="15" fillId="11" borderId="0" xfId="0" applyFont="1" applyFill="1"/>
    <xf numFmtId="0" fontId="1" fillId="16" borderId="0" xfId="0" applyFont="1" applyFill="1"/>
    <xf numFmtId="0" fontId="0" fillId="16" borderId="0" xfId="0" applyFill="1"/>
    <xf numFmtId="0" fontId="1" fillId="0" borderId="0" xfId="0" applyFont="1" applyAlignment="1">
      <alignment horizontal="right"/>
    </xf>
    <xf numFmtId="0" fontId="1" fillId="6" borderId="33" xfId="0" applyFont="1" applyFill="1" applyBorder="1"/>
    <xf numFmtId="0" fontId="1" fillId="6" borderId="37" xfId="0" applyFont="1" applyFill="1" applyBorder="1"/>
    <xf numFmtId="0" fontId="1" fillId="15" borderId="2" xfId="0" applyFont="1" applyFill="1" applyBorder="1" applyAlignment="1">
      <alignment horizontal="center"/>
    </xf>
    <xf numFmtId="0" fontId="1" fillId="15" borderId="27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71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A593-59D8-4FE0-B64E-ED37F5788C9B}">
  <sheetPr codeName="Sheet1"/>
  <dimension ref="B1:S21"/>
  <sheetViews>
    <sheetView zoomScale="90" zoomScaleNormal="90" workbookViewId="0">
      <selection activeCell="U17" sqref="U17"/>
    </sheetView>
  </sheetViews>
  <sheetFormatPr defaultRowHeight="14.5" x14ac:dyDescent="0.35"/>
  <cols>
    <col min="2" max="2" width="14.54296875" customWidth="1"/>
    <col min="3" max="3" width="13" customWidth="1"/>
    <col min="12" max="12" width="11.7265625" customWidth="1"/>
  </cols>
  <sheetData>
    <row r="1" spans="2:19" x14ac:dyDescent="0.35">
      <c r="B1" s="108" t="s">
        <v>81</v>
      </c>
      <c r="C1" s="109"/>
      <c r="D1" s="109"/>
      <c r="E1" s="109"/>
      <c r="F1" s="109"/>
      <c r="G1" s="109"/>
      <c r="H1" s="109"/>
      <c r="I1" s="109"/>
      <c r="J1" s="109"/>
      <c r="K1" s="109"/>
    </row>
    <row r="2" spans="2:19" x14ac:dyDescent="0.35">
      <c r="C2" s="4"/>
    </row>
    <row r="3" spans="2:19" ht="15.5" x14ac:dyDescent="0.35">
      <c r="B3" s="93" t="s">
        <v>62</v>
      </c>
      <c r="C3" s="113" t="s">
        <v>64</v>
      </c>
      <c r="D3" s="114"/>
      <c r="E3" s="114"/>
      <c r="F3" s="114"/>
      <c r="G3" s="114"/>
      <c r="H3" s="114"/>
      <c r="I3" s="114"/>
      <c r="J3" s="115"/>
      <c r="L3" s="107" t="s">
        <v>77</v>
      </c>
      <c r="M3" s="107"/>
      <c r="N3" s="107"/>
      <c r="O3" s="107"/>
      <c r="P3" s="107"/>
      <c r="Q3" s="107"/>
      <c r="R3" s="107"/>
      <c r="S3" s="106"/>
    </row>
    <row r="4" spans="2:19" ht="15.5" x14ac:dyDescent="0.35">
      <c r="B4" s="94" t="s">
        <v>67</v>
      </c>
      <c r="C4" s="97" t="s">
        <v>58</v>
      </c>
      <c r="D4" s="98"/>
      <c r="E4" s="98"/>
      <c r="F4" s="98"/>
      <c r="G4" s="98"/>
      <c r="H4" s="98"/>
      <c r="I4" s="98"/>
      <c r="J4" s="99"/>
      <c r="L4" s="107" t="s">
        <v>78</v>
      </c>
      <c r="M4" s="107"/>
      <c r="N4" s="107"/>
      <c r="O4" s="107"/>
      <c r="P4" s="107"/>
      <c r="Q4" s="107"/>
      <c r="R4" s="107"/>
      <c r="S4" s="106"/>
    </row>
    <row r="5" spans="2:19" ht="15.5" x14ac:dyDescent="0.35">
      <c r="B5" s="95"/>
      <c r="C5" s="100" t="s">
        <v>65</v>
      </c>
      <c r="D5" s="101"/>
      <c r="E5" s="101"/>
      <c r="F5" s="101"/>
      <c r="G5" s="101"/>
      <c r="H5" s="101"/>
      <c r="I5" s="101"/>
      <c r="J5" s="102"/>
      <c r="L5" s="107" t="s">
        <v>79</v>
      </c>
      <c r="M5" s="107"/>
      <c r="N5" s="107"/>
      <c r="O5" s="107"/>
      <c r="P5" s="107"/>
      <c r="Q5" s="107"/>
      <c r="R5" s="107"/>
      <c r="S5" s="106"/>
    </row>
    <row r="6" spans="2:19" ht="15.5" x14ac:dyDescent="0.35">
      <c r="B6" s="96"/>
      <c r="C6" s="103" t="s">
        <v>66</v>
      </c>
      <c r="D6" s="104"/>
      <c r="E6" s="104"/>
      <c r="F6" s="104"/>
      <c r="G6" s="104"/>
      <c r="H6" s="104"/>
      <c r="I6" s="104"/>
      <c r="J6" s="105"/>
      <c r="L6" s="107" t="s">
        <v>80</v>
      </c>
      <c r="M6" s="107"/>
      <c r="N6" s="107"/>
      <c r="O6" s="107"/>
      <c r="P6" s="107"/>
      <c r="Q6" s="107"/>
      <c r="R6" s="107"/>
      <c r="S6" s="106"/>
    </row>
    <row r="7" spans="2:19" x14ac:dyDescent="0.35">
      <c r="B7" s="94" t="s">
        <v>61</v>
      </c>
      <c r="C7" s="97" t="s">
        <v>59</v>
      </c>
      <c r="D7" s="98"/>
      <c r="E7" s="98"/>
      <c r="F7" s="98"/>
      <c r="G7" s="98"/>
      <c r="H7" s="98"/>
      <c r="I7" s="98"/>
      <c r="J7" s="99"/>
    </row>
    <row r="8" spans="2:19" x14ac:dyDescent="0.35">
      <c r="B8" s="96" t="s">
        <v>12</v>
      </c>
      <c r="C8" s="103" t="s">
        <v>60</v>
      </c>
      <c r="D8" s="104"/>
      <c r="E8" s="104"/>
      <c r="F8" s="104"/>
      <c r="G8" s="104"/>
      <c r="H8" s="104"/>
      <c r="I8" s="104"/>
      <c r="J8" s="105"/>
    </row>
    <row r="9" spans="2:19" x14ac:dyDescent="0.35">
      <c r="B9" s="94" t="s">
        <v>63</v>
      </c>
      <c r="C9" s="97" t="s">
        <v>76</v>
      </c>
      <c r="D9" s="98"/>
      <c r="E9" s="98"/>
      <c r="F9" s="98"/>
      <c r="G9" s="98"/>
      <c r="H9" s="98"/>
      <c r="I9" s="98"/>
      <c r="J9" s="99"/>
    </row>
    <row r="10" spans="2:19" x14ac:dyDescent="0.35">
      <c r="B10" s="95"/>
      <c r="C10" s="100" t="s">
        <v>82</v>
      </c>
      <c r="D10" s="101"/>
      <c r="E10" s="101"/>
      <c r="F10" s="101"/>
      <c r="G10" s="101"/>
      <c r="H10" s="101"/>
      <c r="I10" s="101"/>
      <c r="J10" s="102"/>
    </row>
    <row r="11" spans="2:19" x14ac:dyDescent="0.35">
      <c r="B11" s="96"/>
      <c r="C11" s="100" t="s">
        <v>83</v>
      </c>
      <c r="D11" s="101"/>
      <c r="E11" s="101"/>
      <c r="F11" s="101"/>
      <c r="G11" s="101"/>
      <c r="H11" s="101"/>
      <c r="I11" s="101"/>
      <c r="J11" s="102"/>
    </row>
    <row r="12" spans="2:19" x14ac:dyDescent="0.35">
      <c r="B12" s="111" t="s">
        <v>69</v>
      </c>
      <c r="C12" s="97" t="s">
        <v>70</v>
      </c>
      <c r="D12" s="98"/>
      <c r="E12" s="98"/>
      <c r="F12" s="98"/>
      <c r="G12" s="98"/>
      <c r="H12" s="98"/>
      <c r="I12" s="98"/>
      <c r="J12" s="98"/>
      <c r="K12" s="99"/>
    </row>
    <row r="13" spans="2:19" x14ac:dyDescent="0.35">
      <c r="B13" s="112" t="s">
        <v>17</v>
      </c>
      <c r="C13" s="100" t="s">
        <v>88</v>
      </c>
      <c r="D13" s="101"/>
      <c r="E13" s="101"/>
      <c r="F13" s="101"/>
      <c r="G13" s="101"/>
      <c r="H13" s="101"/>
      <c r="I13" s="101"/>
      <c r="J13" s="101"/>
      <c r="K13" s="102"/>
    </row>
    <row r="14" spans="2:19" x14ac:dyDescent="0.35">
      <c r="B14" s="112"/>
      <c r="C14" s="100" t="s">
        <v>90</v>
      </c>
      <c r="D14" s="101"/>
      <c r="E14" s="101"/>
      <c r="F14" s="101"/>
      <c r="G14" s="101"/>
      <c r="H14" s="101"/>
      <c r="I14" s="101"/>
      <c r="J14" s="101"/>
      <c r="K14" s="102"/>
    </row>
    <row r="15" spans="2:19" x14ac:dyDescent="0.35">
      <c r="B15" s="94" t="s">
        <v>69</v>
      </c>
      <c r="C15" s="98" t="s">
        <v>72</v>
      </c>
      <c r="D15" s="98"/>
      <c r="E15" s="98"/>
      <c r="F15" s="98"/>
      <c r="G15" s="98"/>
      <c r="H15" s="98"/>
      <c r="I15" s="98"/>
      <c r="J15" s="98"/>
      <c r="K15" s="99"/>
    </row>
    <row r="16" spans="2:19" x14ac:dyDescent="0.35">
      <c r="B16" s="95" t="s">
        <v>12</v>
      </c>
      <c r="C16" s="101" t="s">
        <v>88</v>
      </c>
      <c r="D16" s="101"/>
      <c r="E16" s="101"/>
      <c r="F16" s="101"/>
      <c r="G16" s="101"/>
      <c r="H16" s="101"/>
      <c r="I16" s="101"/>
      <c r="J16" s="101"/>
      <c r="K16" s="102"/>
    </row>
    <row r="17" spans="2:11" x14ac:dyDescent="0.35">
      <c r="B17" s="96"/>
      <c r="C17" s="104" t="s">
        <v>91</v>
      </c>
      <c r="D17" s="104"/>
      <c r="E17" s="104"/>
      <c r="F17" s="104"/>
      <c r="G17" s="104"/>
      <c r="H17" s="104"/>
      <c r="I17" s="104"/>
      <c r="J17" s="104"/>
      <c r="K17" s="105"/>
    </row>
    <row r="18" spans="2:11" x14ac:dyDescent="0.35">
      <c r="B18" s="95" t="s">
        <v>71</v>
      </c>
      <c r="C18" s="100" t="s">
        <v>73</v>
      </c>
      <c r="D18" s="101"/>
      <c r="E18" s="101"/>
      <c r="F18" s="101"/>
      <c r="G18" s="101"/>
      <c r="H18" s="101"/>
      <c r="I18" s="101"/>
      <c r="J18" s="101"/>
      <c r="K18" s="102"/>
    </row>
    <row r="19" spans="2:11" x14ac:dyDescent="0.35">
      <c r="B19" s="96"/>
      <c r="C19" s="103" t="s">
        <v>74</v>
      </c>
      <c r="D19" s="104"/>
      <c r="E19" s="104"/>
      <c r="F19" s="104"/>
      <c r="G19" s="104"/>
      <c r="H19" s="104"/>
      <c r="I19" s="104"/>
      <c r="J19" s="104"/>
      <c r="K19" s="105"/>
    </row>
    <row r="20" spans="2:11" x14ac:dyDescent="0.35">
      <c r="B20" s="94" t="s">
        <v>25</v>
      </c>
      <c r="C20" s="97" t="s">
        <v>75</v>
      </c>
      <c r="D20" s="98"/>
      <c r="E20" s="98"/>
      <c r="F20" s="98"/>
      <c r="G20" s="98"/>
      <c r="H20" s="98"/>
      <c r="I20" s="98"/>
      <c r="J20" s="98"/>
      <c r="K20" s="99"/>
    </row>
    <row r="21" spans="2:11" x14ac:dyDescent="0.35">
      <c r="B21" s="96"/>
      <c r="C21" s="103" t="s">
        <v>68</v>
      </c>
      <c r="D21" s="104"/>
      <c r="E21" s="104"/>
      <c r="F21" s="104"/>
      <c r="G21" s="104"/>
      <c r="H21" s="104"/>
      <c r="I21" s="104"/>
      <c r="J21" s="104"/>
      <c r="K21" s="105"/>
    </row>
  </sheetData>
  <sheetProtection algorithmName="SHA-512" hashValue="Ktwh4uy02Ua3VyIrypuRsMUyf/hjZgTV5jmt0azh6P0R9mZ2zUPDLRV1QWGN2l1ERmngM7XBei2xQpGjPVDISw==" saltValue="PCQYS2hKtuiP4HqrC5SIzw==" spinCount="100000" sheet="1" objects="1" scenarios="1"/>
  <mergeCells count="1">
    <mergeCell ref="C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99EC-D31C-4B8D-9D5A-32599ED3EE6A}">
  <sheetPr codeName="Sheet2"/>
  <dimension ref="A1:M21"/>
  <sheetViews>
    <sheetView workbookViewId="0">
      <selection activeCell="D3" sqref="D3"/>
    </sheetView>
  </sheetViews>
  <sheetFormatPr defaultRowHeight="14.5" x14ac:dyDescent="0.35"/>
  <cols>
    <col min="2" max="2" width="8" customWidth="1"/>
    <col min="3" max="3" width="35" customWidth="1"/>
    <col min="4" max="4" width="19.453125" customWidth="1"/>
    <col min="6" max="6" width="10.26953125" customWidth="1"/>
    <col min="7" max="7" width="7" customWidth="1"/>
    <col min="8" max="8" width="10.7265625" customWidth="1"/>
  </cols>
  <sheetData>
    <row r="1" spans="1:13" ht="21" customHeight="1" thickBot="1" x14ac:dyDescent="0.4">
      <c r="A1" s="58"/>
      <c r="B1" s="58"/>
      <c r="C1" s="116" t="s">
        <v>57</v>
      </c>
      <c r="D1" s="117"/>
      <c r="E1" s="117"/>
      <c r="F1" s="117"/>
      <c r="G1" s="117"/>
      <c r="H1" s="117"/>
      <c r="I1" s="117"/>
      <c r="J1" s="117"/>
      <c r="K1" s="118"/>
      <c r="L1" s="58"/>
      <c r="M1" s="58"/>
    </row>
    <row r="2" spans="1:13" x14ac:dyDescent="0.3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x14ac:dyDescent="0.35">
      <c r="A3" s="27"/>
      <c r="B3" s="22" t="s">
        <v>0</v>
      </c>
      <c r="C3" s="29"/>
      <c r="D3" s="59"/>
      <c r="E3" s="110" t="s">
        <v>85</v>
      </c>
      <c r="F3" s="1" t="s">
        <v>1</v>
      </c>
      <c r="G3" s="72">
        <v>3</v>
      </c>
      <c r="H3" s="29" t="s">
        <v>2</v>
      </c>
      <c r="I3" s="28"/>
    </row>
    <row r="4" spans="1:13" x14ac:dyDescent="0.35">
      <c r="F4" s="1" t="s">
        <v>3</v>
      </c>
      <c r="G4" s="87">
        <v>15</v>
      </c>
      <c r="H4" s="29" t="s">
        <v>2</v>
      </c>
    </row>
    <row r="5" spans="1:13" ht="15" thickBot="1" x14ac:dyDescent="0.4"/>
    <row r="6" spans="1:13" x14ac:dyDescent="0.35">
      <c r="B6" s="32" t="s">
        <v>4</v>
      </c>
      <c r="C6" s="32" t="s">
        <v>5</v>
      </c>
      <c r="D6" s="32" t="s">
        <v>6</v>
      </c>
      <c r="F6" s="33" t="s">
        <v>7</v>
      </c>
      <c r="G6" s="34"/>
      <c r="H6" s="34"/>
      <c r="I6" s="34"/>
      <c r="J6" s="34"/>
      <c r="K6" s="34"/>
      <c r="L6" s="34"/>
      <c r="M6" s="35"/>
    </row>
    <row r="7" spans="1:13" x14ac:dyDescent="0.35">
      <c r="B7" s="73" t="str">
        <f>IF($D$3&gt;2,1,"")</f>
        <v/>
      </c>
      <c r="C7" s="90"/>
      <c r="D7" s="91"/>
      <c r="F7" s="36" t="s">
        <v>89</v>
      </c>
      <c r="M7" s="37"/>
    </row>
    <row r="8" spans="1:13" x14ac:dyDescent="0.35">
      <c r="B8" s="73" t="str">
        <f>IF($D$3&gt;2,2,"")</f>
        <v/>
      </c>
      <c r="C8" s="90"/>
      <c r="D8" s="91"/>
      <c r="F8" s="36" t="s">
        <v>8</v>
      </c>
      <c r="M8" s="37"/>
    </row>
    <row r="9" spans="1:13" ht="15" thickBot="1" x14ac:dyDescent="0.4">
      <c r="B9" s="73" t="str">
        <f>IF($D$3&gt;2,3,"")</f>
        <v/>
      </c>
      <c r="C9" s="90"/>
      <c r="D9" s="91"/>
      <c r="F9" s="38" t="s">
        <v>9</v>
      </c>
      <c r="G9" s="39"/>
      <c r="H9" s="39"/>
      <c r="I9" s="39"/>
      <c r="J9" s="39"/>
      <c r="K9" s="39"/>
      <c r="L9" s="39"/>
      <c r="M9" s="40"/>
    </row>
    <row r="10" spans="1:13" x14ac:dyDescent="0.35">
      <c r="B10" s="73" t="str">
        <f>IF($D$3&gt;3,4,"")</f>
        <v/>
      </c>
      <c r="C10" s="90"/>
      <c r="D10" s="91"/>
    </row>
    <row r="11" spans="1:13" x14ac:dyDescent="0.35">
      <c r="B11" s="73" t="str">
        <f>IF($D$3&gt;4,5,"")</f>
        <v/>
      </c>
      <c r="C11" s="90"/>
      <c r="D11" s="91"/>
    </row>
    <row r="12" spans="1:13" x14ac:dyDescent="0.35">
      <c r="B12" s="73" t="str">
        <f>IF($D$3&gt;5,6,"")</f>
        <v/>
      </c>
      <c r="C12" s="90"/>
      <c r="D12" s="91"/>
      <c r="G12" s="31"/>
    </row>
    <row r="13" spans="1:13" x14ac:dyDescent="0.35">
      <c r="B13" s="73" t="str">
        <f>IF($D$3&gt;6,7,"")</f>
        <v/>
      </c>
      <c r="C13" s="90"/>
      <c r="D13" s="91"/>
    </row>
    <row r="14" spans="1:13" x14ac:dyDescent="0.35">
      <c r="B14" s="73" t="str">
        <f>IF($D$3&gt;7,8,"")</f>
        <v/>
      </c>
      <c r="C14" s="90"/>
      <c r="D14" s="91"/>
    </row>
    <row r="15" spans="1:13" x14ac:dyDescent="0.35">
      <c r="B15" s="73" t="str">
        <f>IF($D$3&gt;8,9,"")</f>
        <v/>
      </c>
      <c r="C15" s="90"/>
      <c r="D15" s="91"/>
    </row>
    <row r="16" spans="1:13" x14ac:dyDescent="0.35">
      <c r="B16" s="73" t="str">
        <f>IF($D$3&gt;9,10,"")</f>
        <v/>
      </c>
      <c r="C16" s="90"/>
      <c r="D16" s="91"/>
    </row>
    <row r="17" spans="2:4" x14ac:dyDescent="0.35">
      <c r="B17" s="73" t="str">
        <f>IF($D$3&gt;10,11,"")</f>
        <v/>
      </c>
      <c r="C17" s="90"/>
      <c r="D17" s="91"/>
    </row>
    <row r="18" spans="2:4" x14ac:dyDescent="0.35">
      <c r="B18" s="73" t="str">
        <f>IF($D$3&gt;11,12,"")</f>
        <v/>
      </c>
      <c r="C18" s="90"/>
      <c r="D18" s="91"/>
    </row>
    <row r="19" spans="2:4" x14ac:dyDescent="0.35">
      <c r="B19" s="73" t="str">
        <f>IF($D$3&gt;12,13,"")</f>
        <v/>
      </c>
      <c r="C19" s="90"/>
      <c r="D19" s="91"/>
    </row>
    <row r="20" spans="2:4" x14ac:dyDescent="0.35">
      <c r="B20" s="73" t="str">
        <f>IF($D$3&gt;13,14,"")</f>
        <v/>
      </c>
      <c r="C20" s="90"/>
      <c r="D20" s="91"/>
    </row>
    <row r="21" spans="2:4" x14ac:dyDescent="0.35">
      <c r="B21" s="73" t="str">
        <f>IF($D$3&gt;14,15,"")</f>
        <v/>
      </c>
      <c r="C21" s="90"/>
      <c r="D21" s="91"/>
    </row>
  </sheetData>
  <sheetProtection algorithmName="SHA-512" hashValue="tG6Nm98iF1aLBKM0WW/9cbezY2zvH6vslbBF1M540umGqzfDdzsIjTQ3ojsSgJldnMYARkDoljuGfsOLvYf5ew==" saltValue="TpyN6x1/Sbscz6BSB/vmvg==" spinCount="100000" sheet="1" objects="1" scenarios="1" selectLockedCells="1"/>
  <mergeCells count="1">
    <mergeCell ref="C1:K1"/>
  </mergeCells>
  <phoneticPr fontId="8" type="noConversion"/>
  <conditionalFormatting sqref="B7:B21">
    <cfRule type="cellIs" dxfId="70" priority="1" operator="between">
      <formula>1</formula>
      <formula>15</formula>
    </cfRule>
  </conditionalFormatting>
  <conditionalFormatting sqref="C7:D9">
    <cfRule type="expression" dxfId="69" priority="38">
      <formula>$D$3&gt;2</formula>
    </cfRule>
    <cfRule type="expression" priority="39">
      <formula>$D$3&gt;2</formula>
    </cfRule>
  </conditionalFormatting>
  <conditionalFormatting sqref="C10:D10">
    <cfRule type="expression" dxfId="68" priority="37">
      <formula>$D$3&gt;3</formula>
    </cfRule>
  </conditionalFormatting>
  <conditionalFormatting sqref="C11:D11">
    <cfRule type="expression" dxfId="67" priority="36">
      <formula>$D$3&gt;4</formula>
    </cfRule>
  </conditionalFormatting>
  <conditionalFormatting sqref="C12:D12">
    <cfRule type="expression" dxfId="66" priority="35">
      <formula>$D$3&gt;5</formula>
    </cfRule>
  </conditionalFormatting>
  <conditionalFormatting sqref="C13:D13">
    <cfRule type="expression" dxfId="65" priority="34">
      <formula>$D$3&gt;6</formula>
    </cfRule>
  </conditionalFormatting>
  <conditionalFormatting sqref="C14:D14">
    <cfRule type="expression" dxfId="64" priority="32">
      <formula>$D$3&gt;7</formula>
    </cfRule>
    <cfRule type="expression" priority="33">
      <formula>$D$3&gt;7</formula>
    </cfRule>
  </conditionalFormatting>
  <conditionalFormatting sqref="C15:D15">
    <cfRule type="expression" dxfId="63" priority="31">
      <formula>$D$3&gt;8</formula>
    </cfRule>
  </conditionalFormatting>
  <conditionalFormatting sqref="C16:D16">
    <cfRule type="expression" dxfId="62" priority="29">
      <formula>$D$3&gt;9</formula>
    </cfRule>
    <cfRule type="expression" priority="30">
      <formula>$D$3&gt;9</formula>
    </cfRule>
  </conditionalFormatting>
  <conditionalFormatting sqref="C17:D17">
    <cfRule type="expression" dxfId="61" priority="28">
      <formula>$D$3&gt;10</formula>
    </cfRule>
  </conditionalFormatting>
  <conditionalFormatting sqref="C18:D18">
    <cfRule type="expression" dxfId="60" priority="27">
      <formula>$D$3&gt;11</formula>
    </cfRule>
  </conditionalFormatting>
  <conditionalFormatting sqref="C19:D19">
    <cfRule type="expression" dxfId="59" priority="26">
      <formula>$D$3&gt;12</formula>
    </cfRule>
  </conditionalFormatting>
  <conditionalFormatting sqref="C20:D20">
    <cfRule type="expression" dxfId="58" priority="25">
      <formula>$D$3&gt;13</formula>
    </cfRule>
  </conditionalFormatting>
  <conditionalFormatting sqref="C21:D21">
    <cfRule type="expression" dxfId="57" priority="24">
      <formula>$D$3&gt;14</formula>
    </cfRule>
  </conditionalFormatting>
  <dataValidations count="1">
    <dataValidation type="list" showInputMessage="1" showErrorMessage="1" sqref="D3" xr:uid="{41AB2392-61E8-4FA0-95B8-1E73FA19C093}">
      <formula1>"3,4,5,6,7,8,9,10,11,12,13,14,15"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E774-856C-4168-834A-F5C1BCE74D55}">
  <sheetPr codeName="Sheet3"/>
  <dimension ref="A1:N20"/>
  <sheetViews>
    <sheetView workbookViewId="0">
      <selection activeCell="E3" sqref="E3"/>
    </sheetView>
  </sheetViews>
  <sheetFormatPr defaultRowHeight="14.5" x14ac:dyDescent="0.35"/>
  <cols>
    <col min="1" max="1" width="7.26953125" customWidth="1"/>
    <col min="2" max="2" width="7" customWidth="1"/>
    <col min="3" max="3" width="41" customWidth="1"/>
    <col min="4" max="5" width="13.453125" customWidth="1"/>
    <col min="6" max="6" width="7.7265625" customWidth="1"/>
    <col min="7" max="7" width="10.26953125" customWidth="1"/>
    <col min="13" max="13" width="11.26953125" customWidth="1"/>
    <col min="14" max="14" width="9.7265625" customWidth="1"/>
  </cols>
  <sheetData>
    <row r="1" spans="1:14" ht="21.75" customHeight="1" x14ac:dyDescent="0.35">
      <c r="C1" s="122" t="str">
        <f>Challanges!C1</f>
        <v>Nama Kegiatan Perhitungan AHP (disesuaikan di sini)</v>
      </c>
      <c r="D1" s="123"/>
      <c r="E1" s="123"/>
      <c r="F1" s="123"/>
      <c r="G1" s="123"/>
      <c r="H1" s="123"/>
      <c r="I1" s="123"/>
      <c r="J1" s="124"/>
    </row>
    <row r="2" spans="1:14" ht="15" thickBot="1" x14ac:dyDescent="0.4"/>
    <row r="3" spans="1:14" ht="15" thickBot="1" x14ac:dyDescent="0.4">
      <c r="A3" s="4"/>
      <c r="B3" s="119" t="s">
        <v>10</v>
      </c>
      <c r="C3" s="120"/>
      <c r="D3" s="121"/>
      <c r="E3" s="63"/>
      <c r="F3" s="110" t="s">
        <v>85</v>
      </c>
      <c r="G3" s="1" t="s">
        <v>11</v>
      </c>
      <c r="H3" s="87">
        <v>3</v>
      </c>
      <c r="I3" s="1" t="s">
        <v>12</v>
      </c>
    </row>
    <row r="4" spans="1:14" ht="15" thickBot="1" x14ac:dyDescent="0.4">
      <c r="G4" s="1" t="s">
        <v>13</v>
      </c>
      <c r="H4" s="87">
        <v>15</v>
      </c>
      <c r="I4" s="1" t="s">
        <v>12</v>
      </c>
    </row>
    <row r="5" spans="1:14" ht="15" thickBot="1" x14ac:dyDescent="0.4">
      <c r="B5" s="64" t="s">
        <v>14</v>
      </c>
      <c r="C5" s="65" t="s">
        <v>15</v>
      </c>
      <c r="D5" s="65" t="s">
        <v>16</v>
      </c>
      <c r="E5" s="66" t="s">
        <v>17</v>
      </c>
    </row>
    <row r="6" spans="1:14" x14ac:dyDescent="0.35">
      <c r="B6" s="74" t="str">
        <f>IF($E$3&gt;2,1,"")</f>
        <v/>
      </c>
      <c r="C6" s="90"/>
      <c r="D6" s="90"/>
      <c r="E6" s="61">
        <f>IF($E$3&lt;1,1,"")</f>
        <v>1</v>
      </c>
      <c r="G6" s="33" t="s">
        <v>7</v>
      </c>
      <c r="H6" s="34"/>
      <c r="I6" s="34"/>
      <c r="J6" s="34"/>
      <c r="K6" s="34"/>
      <c r="L6" s="34"/>
      <c r="M6" s="34"/>
      <c r="N6" s="35"/>
    </row>
    <row r="7" spans="1:14" x14ac:dyDescent="0.35">
      <c r="B7" s="74" t="str">
        <f>IF($E$3&gt;2,2,"")</f>
        <v/>
      </c>
      <c r="C7" s="90"/>
      <c r="D7" s="90"/>
      <c r="E7" s="61">
        <f>IF($E$3&lt;2,1,"")</f>
        <v>1</v>
      </c>
      <c r="G7" s="60" t="s">
        <v>84</v>
      </c>
      <c r="H7" s="55"/>
      <c r="I7" s="55"/>
      <c r="J7" s="55"/>
      <c r="K7" s="55"/>
      <c r="N7" s="37"/>
    </row>
    <row r="8" spans="1:14" x14ac:dyDescent="0.35">
      <c r="B8" s="74" t="str">
        <f>IF($E$3&gt;2,3,"")</f>
        <v/>
      </c>
      <c r="C8" s="90"/>
      <c r="D8" s="90"/>
      <c r="E8" s="61">
        <f>IF($E$3&lt;3,1,"")</f>
        <v>1</v>
      </c>
      <c r="G8" s="36" t="s">
        <v>87</v>
      </c>
      <c r="N8" s="37"/>
    </row>
    <row r="9" spans="1:14" x14ac:dyDescent="0.35">
      <c r="B9" s="74" t="str">
        <f>IF($E$3&gt;3,4,"")</f>
        <v/>
      </c>
      <c r="C9" s="90"/>
      <c r="D9" s="90"/>
      <c r="E9" s="61">
        <f>IF($E$3&lt;4,1,"")</f>
        <v>1</v>
      </c>
      <c r="G9" s="36" t="s">
        <v>86</v>
      </c>
      <c r="N9" s="37"/>
    </row>
    <row r="10" spans="1:14" ht="15" thickBot="1" x14ac:dyDescent="0.4">
      <c r="B10" s="74" t="str">
        <f>IF($E$3&gt;4,5,"")</f>
        <v/>
      </c>
      <c r="C10" s="90"/>
      <c r="D10" s="90"/>
      <c r="E10" s="61">
        <f>IF($E$3&lt;5,1,"")</f>
        <v>1</v>
      </c>
      <c r="G10" s="38" t="s">
        <v>18</v>
      </c>
      <c r="H10" s="39"/>
      <c r="I10" s="39"/>
      <c r="J10" s="39"/>
      <c r="K10" s="39"/>
      <c r="L10" s="39"/>
      <c r="M10" s="39"/>
      <c r="N10" s="40"/>
    </row>
    <row r="11" spans="1:14" x14ac:dyDescent="0.35">
      <c r="B11" s="74" t="str">
        <f>IF($E$3&gt;5,6,"")</f>
        <v/>
      </c>
      <c r="C11" s="90"/>
      <c r="D11" s="90"/>
      <c r="E11" s="61">
        <f>IF($E$3&lt;6,1,"")</f>
        <v>1</v>
      </c>
    </row>
    <row r="12" spans="1:14" x14ac:dyDescent="0.35">
      <c r="B12" s="74" t="str">
        <f>IF($E$3&gt;6,7,"")</f>
        <v/>
      </c>
      <c r="C12" s="90"/>
      <c r="D12" s="90"/>
      <c r="E12" s="61">
        <f>IF($E$3&lt;7,1,"")</f>
        <v>1</v>
      </c>
    </row>
    <row r="13" spans="1:14" x14ac:dyDescent="0.35">
      <c r="B13" s="74" t="str">
        <f>IF($E$3&gt;7,8,"")</f>
        <v/>
      </c>
      <c r="C13" s="90"/>
      <c r="D13" s="90"/>
      <c r="E13" s="61">
        <f>IF($E$3&lt;8,1,"")</f>
        <v>1</v>
      </c>
    </row>
    <row r="14" spans="1:14" x14ac:dyDescent="0.35">
      <c r="B14" s="74" t="str">
        <f>IF($E$3&gt;8,9,"")</f>
        <v/>
      </c>
      <c r="C14" s="90"/>
      <c r="D14" s="90"/>
      <c r="E14" s="61">
        <f>IF($E$3&lt;9,1,"")</f>
        <v>1</v>
      </c>
    </row>
    <row r="15" spans="1:14" x14ac:dyDescent="0.35">
      <c r="B15" s="74" t="str">
        <f>IF($E$3&gt;9,10,"")</f>
        <v/>
      </c>
      <c r="C15" s="90"/>
      <c r="D15" s="90"/>
      <c r="E15" s="61">
        <f>IF($E$3&lt;10,1,"")</f>
        <v>1</v>
      </c>
    </row>
    <row r="16" spans="1:14" x14ac:dyDescent="0.35">
      <c r="B16" s="74" t="str">
        <f>IF($E$3&gt;10,11,"")</f>
        <v/>
      </c>
      <c r="C16" s="90"/>
      <c r="D16" s="90"/>
      <c r="E16" s="61">
        <f>IF($E$3&lt;11,1,"")</f>
        <v>1</v>
      </c>
    </row>
    <row r="17" spans="2:5" x14ac:dyDescent="0.35">
      <c r="B17" s="74" t="str">
        <f>IF($E$3&gt;11,12,"")</f>
        <v/>
      </c>
      <c r="C17" s="90"/>
      <c r="D17" s="90"/>
      <c r="E17" s="61">
        <f>IF($E$3&lt;12,1,"")</f>
        <v>1</v>
      </c>
    </row>
    <row r="18" spans="2:5" x14ac:dyDescent="0.35">
      <c r="B18" s="74" t="str">
        <f>IF($E$3&gt;12,13,"")</f>
        <v/>
      </c>
      <c r="C18" s="90"/>
      <c r="D18" s="90"/>
      <c r="E18" s="61">
        <f>IF($E$3&lt;13,1,"")</f>
        <v>1</v>
      </c>
    </row>
    <row r="19" spans="2:5" x14ac:dyDescent="0.35">
      <c r="B19" s="74" t="str">
        <f>IF($E$3&gt;13,14,"")</f>
        <v/>
      </c>
      <c r="C19" s="90"/>
      <c r="D19" s="90"/>
      <c r="E19" s="61">
        <f>IF($E$3&lt;14,1,"")</f>
        <v>1</v>
      </c>
    </row>
    <row r="20" spans="2:5" ht="15" thickBot="1" x14ac:dyDescent="0.4">
      <c r="B20" s="74" t="str">
        <f>IF($E$3&gt;14,15,"")</f>
        <v/>
      </c>
      <c r="C20" s="92"/>
      <c r="D20" s="92"/>
      <c r="E20" s="62">
        <f>IF($E$3&lt;15,1,"")</f>
        <v>1</v>
      </c>
    </row>
  </sheetData>
  <sheetProtection algorithmName="SHA-512" hashValue="DoXHB1Y1ezy8G7ulsTl73k9EwMSHMkI8Tq4Sq+X7Ec2wzSEBkh8WVs7w409Sf0X6saRDzXBSRJmxPO35l+4b7g==" saltValue="UHcegfVHPea1Gaf5Z5MExA==" spinCount="100000" sheet="1" objects="1" scenarios="1" selectLockedCells="1"/>
  <mergeCells count="2">
    <mergeCell ref="B3:D3"/>
    <mergeCell ref="C1:J1"/>
  </mergeCells>
  <phoneticPr fontId="8" type="noConversion"/>
  <conditionalFormatting sqref="B6:B20">
    <cfRule type="cellIs" dxfId="56" priority="1" operator="between">
      <formula>1</formula>
      <formula>15</formula>
    </cfRule>
  </conditionalFormatting>
  <conditionalFormatting sqref="C10:D10">
    <cfRule type="expression" dxfId="55" priority="32">
      <formula>$E$3&gt;4</formula>
    </cfRule>
  </conditionalFormatting>
  <conditionalFormatting sqref="C11:D11">
    <cfRule type="expression" dxfId="54" priority="31">
      <formula>$E$3&gt;5</formula>
    </cfRule>
  </conditionalFormatting>
  <conditionalFormatting sqref="C12:D12">
    <cfRule type="expression" dxfId="53" priority="29">
      <formula>$E$3&gt;6</formula>
    </cfRule>
    <cfRule type="expression" priority="30">
      <formula>$E$3&gt;6</formula>
    </cfRule>
  </conditionalFormatting>
  <conditionalFormatting sqref="C13:D13">
    <cfRule type="expression" dxfId="52" priority="28">
      <formula>$E$3&gt;7</formula>
    </cfRule>
  </conditionalFormatting>
  <conditionalFormatting sqref="C14:D14">
    <cfRule type="expression" dxfId="51" priority="27">
      <formula>$E$3&gt;8</formula>
    </cfRule>
  </conditionalFormatting>
  <conditionalFormatting sqref="C15:D15">
    <cfRule type="expression" dxfId="50" priority="26">
      <formula>$E$3&gt;9</formula>
    </cfRule>
  </conditionalFormatting>
  <conditionalFormatting sqref="C16:D16">
    <cfRule type="expression" dxfId="49" priority="24">
      <formula>$E$3&gt;10</formula>
    </cfRule>
    <cfRule type="expression" priority="25">
      <formula>$E$3&gt;10</formula>
    </cfRule>
  </conditionalFormatting>
  <conditionalFormatting sqref="C17:D17">
    <cfRule type="expression" dxfId="48" priority="23">
      <formula>$E$3&gt;11</formula>
    </cfRule>
  </conditionalFormatting>
  <conditionalFormatting sqref="C18:D18">
    <cfRule type="expression" dxfId="47" priority="22">
      <formula>$E$3&gt;12</formula>
    </cfRule>
  </conditionalFormatting>
  <conditionalFormatting sqref="C19:D19">
    <cfRule type="expression" dxfId="46" priority="21">
      <formula>$E$3&gt;13</formula>
    </cfRule>
  </conditionalFormatting>
  <conditionalFormatting sqref="C20:D20">
    <cfRule type="expression" dxfId="45" priority="20">
      <formula>$E$3&gt;14</formula>
    </cfRule>
  </conditionalFormatting>
  <conditionalFormatting sqref="C6:E8">
    <cfRule type="expression" dxfId="44" priority="35">
      <formula>$E$3&gt;2</formula>
    </cfRule>
  </conditionalFormatting>
  <conditionalFormatting sqref="E6:E20 C9:E9">
    <cfRule type="expression" dxfId="43" priority="33">
      <formula>$E$3&gt;3</formula>
    </cfRule>
    <cfRule type="expression" priority="34">
      <formula>$E$3&gt;3</formula>
    </cfRule>
  </conditionalFormatting>
  <conditionalFormatting sqref="E6:E20">
    <cfRule type="cellIs" dxfId="42" priority="19" operator="equal">
      <formula>1</formula>
    </cfRule>
  </conditionalFormatting>
  <dataValidations count="1">
    <dataValidation type="list" allowBlank="1" showInputMessage="1" showErrorMessage="1" sqref="E3" xr:uid="{A376E5BA-3156-4BAC-95C5-4075836F7029}">
      <formula1>"3,4,5,6,7,8,9,10,11,12,13,14,15"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C6BA-E6E6-4DB8-AC93-DA8B3224C610}">
  <sheetPr codeName="Sheet4"/>
  <dimension ref="A1:Q20"/>
  <sheetViews>
    <sheetView topLeftCell="A4" workbookViewId="0">
      <selection activeCell="C6" sqref="C6"/>
    </sheetView>
  </sheetViews>
  <sheetFormatPr defaultRowHeight="14.5" x14ac:dyDescent="0.35"/>
  <sheetData>
    <row r="1" spans="1:17" x14ac:dyDescent="0.35">
      <c r="G1" s="125" t="s">
        <v>19</v>
      </c>
      <c r="H1" s="125"/>
      <c r="I1" s="125"/>
      <c r="J1" s="125"/>
      <c r="K1" s="125"/>
      <c r="L1" s="125"/>
      <c r="M1" s="125"/>
    </row>
    <row r="2" spans="1:17" ht="15" thickBot="1" x14ac:dyDescent="0.4">
      <c r="E2" t="s">
        <v>20</v>
      </c>
    </row>
    <row r="3" spans="1:17" ht="15" thickBot="1" x14ac:dyDescent="0.4">
      <c r="B3" s="69" t="s">
        <v>21</v>
      </c>
      <c r="C3" s="9"/>
      <c r="D3" s="9"/>
      <c r="F3" s="55" t="s">
        <v>22</v>
      </c>
    </row>
    <row r="4" spans="1:17" ht="15" thickBot="1" x14ac:dyDescent="0.4">
      <c r="A4" s="68" t="s">
        <v>23</v>
      </c>
      <c r="B4" s="70">
        <f>'Kriteria&amp;Bobot'!E3</f>
        <v>0</v>
      </c>
    </row>
    <row r="5" spans="1:17" ht="15" thickBot="1" x14ac:dyDescent="0.4">
      <c r="A5" s="70">
        <f>Challanges!D3</f>
        <v>0</v>
      </c>
      <c r="B5" s="67"/>
      <c r="C5" s="47">
        <f>'Kriteria&amp;Bobot'!D6</f>
        <v>0</v>
      </c>
      <c r="D5" s="47">
        <f>'Kriteria&amp;Bobot'!D7</f>
        <v>0</v>
      </c>
      <c r="E5" s="47">
        <f>'Kriteria&amp;Bobot'!D8</f>
        <v>0</v>
      </c>
      <c r="F5" s="47">
        <f>'Eig Vec Bobot Kriteria'!F4</f>
        <v>0</v>
      </c>
      <c r="G5" s="47">
        <f>'Eig Vec Bobot Kriteria'!G4</f>
        <v>0</v>
      </c>
      <c r="H5" s="47">
        <f>'Eig Vec Bobot Kriteria'!H4</f>
        <v>0</v>
      </c>
      <c r="I5" s="47">
        <f>'Eig Vec Bobot Kriteria'!I4</f>
        <v>0</v>
      </c>
      <c r="J5" s="47">
        <f>'Eig Vec Bobot Kriteria'!J4</f>
        <v>0</v>
      </c>
      <c r="K5" s="47">
        <f>'Eig Vec Bobot Kriteria'!K4</f>
        <v>0</v>
      </c>
      <c r="L5" s="47">
        <f>'Eig Vec Bobot Kriteria'!L4</f>
        <v>0</v>
      </c>
      <c r="M5" s="47">
        <f>'Eig Vec Bobot Kriteria'!M4</f>
        <v>0</v>
      </c>
      <c r="N5" s="47">
        <f>'Eig Vec Bobot Kriteria'!N4</f>
        <v>0</v>
      </c>
      <c r="O5" s="47">
        <f>'Eig Vec Bobot Kriteria'!O4</f>
        <v>0</v>
      </c>
      <c r="P5" s="47">
        <f>'Eig Vec Bobot Kriteria'!P4</f>
        <v>0</v>
      </c>
      <c r="Q5" s="48">
        <f>'Eig Vec Bobot Kriteria'!Q4</f>
        <v>0</v>
      </c>
    </row>
    <row r="6" spans="1:17" x14ac:dyDescent="0.35">
      <c r="B6" s="49">
        <f>Challanges!D7</f>
        <v>0</v>
      </c>
      <c r="C6" s="71">
        <f>IF(AND($A$5&gt;2,$B$4&gt;2),"",1)</f>
        <v>1</v>
      </c>
      <c r="D6" s="71">
        <f t="shared" ref="D6:E8" si="0">IF(AND($A$5&gt;2,$B$4&gt;2),"",1)</f>
        <v>1</v>
      </c>
      <c r="E6" s="71">
        <f t="shared" si="0"/>
        <v>1</v>
      </c>
      <c r="F6" s="71">
        <f>IF(AND($A$5&gt;2,$B$4&gt;3),"",1)</f>
        <v>1</v>
      </c>
      <c r="G6" s="71">
        <f>IF(AND($A$5&gt;2,$B$4&gt;4),"",1)</f>
        <v>1</v>
      </c>
      <c r="H6" s="71">
        <f>IF(AND($A$5&gt;2,$B$4&gt;5),"",1)</f>
        <v>1</v>
      </c>
      <c r="I6" s="71">
        <f>IF(AND($A$5&gt;2,$B$4&gt;6),"",1)</f>
        <v>1</v>
      </c>
      <c r="J6" s="71">
        <f>IF(AND($A$5&gt;2,$B$4&gt;7),"",1)</f>
        <v>1</v>
      </c>
      <c r="K6" s="71">
        <f>IF(AND($A$5&gt;2,$B$4&gt;8),"",1)</f>
        <v>1</v>
      </c>
      <c r="L6" s="71">
        <f>IF(AND($A$5&gt;2,$B$4&gt;9),"",1)</f>
        <v>1</v>
      </c>
      <c r="M6" s="71">
        <f>IF(AND($A$5&gt;2,$B$4&gt;10),"",1)</f>
        <v>1</v>
      </c>
      <c r="N6" s="71">
        <f>IF(AND($A$5&gt;2,$B$4&gt;11),"",1)</f>
        <v>1</v>
      </c>
      <c r="O6" s="71">
        <f>IF(AND($A$5&gt;2,$B$4&gt;12),"",1)</f>
        <v>1</v>
      </c>
      <c r="P6" s="71">
        <f>IF(AND($A$5&gt;2,$B$4&gt;13),"",1)</f>
        <v>1</v>
      </c>
      <c r="Q6" s="71">
        <f>IF(AND($A$5&gt;2,$B$4&gt;14),"",1)</f>
        <v>1</v>
      </c>
    </row>
    <row r="7" spans="1:17" x14ac:dyDescent="0.35">
      <c r="B7" s="49">
        <f>Challanges!D8</f>
        <v>0</v>
      </c>
      <c r="C7" s="71">
        <f>IF(AND($A$5&gt;2,$B$4&gt;2),"",1)</f>
        <v>1</v>
      </c>
      <c r="D7" s="71">
        <f t="shared" si="0"/>
        <v>1</v>
      </c>
      <c r="E7" s="71">
        <f t="shared" si="0"/>
        <v>1</v>
      </c>
      <c r="F7" s="71">
        <f>IF(AND($A$5&gt;2,$B$4&gt;3),"",1)</f>
        <v>1</v>
      </c>
      <c r="G7" s="71">
        <f>IF(AND($A$5&gt;2,$B$4&gt;4),"",1)</f>
        <v>1</v>
      </c>
      <c r="H7" s="71">
        <f t="shared" ref="H7:H8" si="1">IF(AND($A$5&gt;2,$B$4&gt;5),"",1)</f>
        <v>1</v>
      </c>
      <c r="I7" s="71">
        <f>IF(AND($A$5&gt;2,$B$4&gt;6),"",1)</f>
        <v>1</v>
      </c>
      <c r="J7" s="71">
        <f>IF(AND($A$5&gt;2,$B$4&gt;7),"",1)</f>
        <v>1</v>
      </c>
      <c r="K7" s="71">
        <f>IF(AND($A$5&gt;2,$B$4&gt;8),"",1)</f>
        <v>1</v>
      </c>
      <c r="L7" s="71">
        <f>IF(AND($A$5&gt;2,$B$4&gt;9),"",1)</f>
        <v>1</v>
      </c>
      <c r="M7" s="71">
        <f>IF(AND($A$5&gt;2,$B$4&gt;10),"",1)</f>
        <v>1</v>
      </c>
      <c r="N7" s="71">
        <f>IF(AND($A$5&gt;2,$B$4&gt;11),"",1)</f>
        <v>1</v>
      </c>
      <c r="O7" s="71">
        <f>IF(AND($A$5&gt;2,$B$4&gt;12),"",1)</f>
        <v>1</v>
      </c>
      <c r="P7" s="71">
        <f>IF(AND($A$5&gt;2,$B$4&gt;13),"",1)</f>
        <v>1</v>
      </c>
      <c r="Q7" s="71">
        <f>IF(AND($A$5&gt;2,$B$4&gt;14),"",1)</f>
        <v>1</v>
      </c>
    </row>
    <row r="8" spans="1:17" x14ac:dyDescent="0.35">
      <c r="B8" s="49">
        <f>Challanges!D9</f>
        <v>0</v>
      </c>
      <c r="C8" s="71">
        <f>IF(AND($A$5&gt;2,$B$4&gt;2),"",1)</f>
        <v>1</v>
      </c>
      <c r="D8" s="71">
        <f t="shared" si="0"/>
        <v>1</v>
      </c>
      <c r="E8" s="71">
        <f t="shared" si="0"/>
        <v>1</v>
      </c>
      <c r="F8" s="71">
        <f>IF(AND($A$5&gt;2,$B$4&gt;3),"",1)</f>
        <v>1</v>
      </c>
      <c r="G8" s="71">
        <f>IF(AND($A$5&gt;2,$B$4&gt;4),"",1)</f>
        <v>1</v>
      </c>
      <c r="H8" s="71">
        <f t="shared" si="1"/>
        <v>1</v>
      </c>
      <c r="I8" s="71">
        <f>IF(AND($A$5&gt;2,$B$4&gt;6),"",1)</f>
        <v>1</v>
      </c>
      <c r="J8" s="71">
        <f>IF(AND($A$5&gt;2,$B$4&gt;7),"",1)</f>
        <v>1</v>
      </c>
      <c r="K8" s="71">
        <f>IF(AND($A$5&gt;2,$B$4&gt;8),"",1)</f>
        <v>1</v>
      </c>
      <c r="L8" s="71">
        <f>IF(AND($A$5&gt;2,$B$4&gt;9),"",1)</f>
        <v>1</v>
      </c>
      <c r="M8" s="71">
        <f>IF(AND($A$5&gt;2,$B$4&gt;10),"",1)</f>
        <v>1</v>
      </c>
      <c r="N8" s="71">
        <f>IF(AND($A$5&gt;2,$B$4&gt;11),"",1)</f>
        <v>1</v>
      </c>
      <c r="O8" s="71">
        <f>IF(AND($A$5&gt;2,$B$4&gt;12),"",1)</f>
        <v>1</v>
      </c>
      <c r="P8" s="71">
        <f>IF(AND($A$5&gt;2,$B$4&gt;13),"",1)</f>
        <v>1</v>
      </c>
      <c r="Q8" s="71">
        <f>IF(AND($A$5&gt;2,$B$4&gt;14),"",1)</f>
        <v>1</v>
      </c>
    </row>
    <row r="9" spans="1:17" x14ac:dyDescent="0.35">
      <c r="B9" s="49">
        <f>Challanges!D10</f>
        <v>0</v>
      </c>
      <c r="C9" s="71">
        <f>IF(AND($A$5&gt;3,$B$4&gt;2),"",1)</f>
        <v>1</v>
      </c>
      <c r="D9" s="71">
        <f>IF(AND($A$5&gt;3,$B$4&gt;2),"",1)</f>
        <v>1</v>
      </c>
      <c r="E9" s="71">
        <f>IF(AND($A$5&gt;3,$B$4&gt;2),"",1)</f>
        <v>1</v>
      </c>
      <c r="F9" s="71">
        <f t="shared" ref="F9" si="2">IF(AND($A$5&gt;3,$B$4&gt;3),"",1)</f>
        <v>1</v>
      </c>
      <c r="G9" s="71">
        <f>IF(AND($A$5&gt;3,$B$4&gt;4),"",1)</f>
        <v>1</v>
      </c>
      <c r="H9" s="71">
        <f>IF(AND($A$5&gt;3,$B$4&gt;5),"",1)</f>
        <v>1</v>
      </c>
      <c r="I9" s="71">
        <f>IF(AND($A$5&gt;3,$B$4&gt;6),"",1)</f>
        <v>1</v>
      </c>
      <c r="J9" s="71">
        <f>IF(AND($A$5&gt;3,$B$4&gt;7),"",1)</f>
        <v>1</v>
      </c>
      <c r="K9" s="71">
        <f>IF(AND($A$5&gt;3,$B$4&gt;8),"",1)</f>
        <v>1</v>
      </c>
      <c r="L9" s="71">
        <f>IF(AND($A$5&gt;3,$B$4&gt;9),"",1)</f>
        <v>1</v>
      </c>
      <c r="M9" s="71">
        <f>IF(AND($A$5&gt;3,$B$4&gt;10),"",1)</f>
        <v>1</v>
      </c>
      <c r="N9" s="71">
        <f>IF(AND($A$5&gt;3,$B$4&gt;11),"",1)</f>
        <v>1</v>
      </c>
      <c r="O9" s="71">
        <f>IF(AND($A$5&gt;3,$B$4&gt;12),"",1)</f>
        <v>1</v>
      </c>
      <c r="P9" s="71">
        <f>IF(AND($A$5&gt;3,$B$4&gt;13),"",1)</f>
        <v>1</v>
      </c>
      <c r="Q9" s="71">
        <f>IF(AND($A$5&gt;3,$B$4&gt;14),"",1)</f>
        <v>1</v>
      </c>
    </row>
    <row r="10" spans="1:17" x14ac:dyDescent="0.35">
      <c r="B10" s="49">
        <f>Challanges!D11</f>
        <v>0</v>
      </c>
      <c r="C10" s="71">
        <f>IF(AND($A$5&gt;4,$B$4&gt;2),"",1)</f>
        <v>1</v>
      </c>
      <c r="D10" s="71">
        <f>IF(AND($A$5&gt;4,$B$4&gt;2),"",1)</f>
        <v>1</v>
      </c>
      <c r="E10" s="71">
        <f>IF(AND($A$5&gt;4,$B$4&gt;2),"",1)</f>
        <v>1</v>
      </c>
      <c r="F10" s="71">
        <f>IF(AND($A$5&gt;4,$B$4&gt;3),"",1)</f>
        <v>1</v>
      </c>
      <c r="G10" s="71">
        <f t="shared" ref="G10" si="3">IF(AND($A$5&gt;4,$B$4&gt;4),"",1)</f>
        <v>1</v>
      </c>
      <c r="H10" s="71">
        <f>IF(AND($A$5&gt;4,$B$4&gt;5),"",1)</f>
        <v>1</v>
      </c>
      <c r="I10" s="71">
        <f>IF(AND($A$5&gt;4,$B$4&gt;6),"",1)</f>
        <v>1</v>
      </c>
      <c r="J10" s="71">
        <f>IF(AND($A$5&gt;4,$B$4&gt;7),"",1)</f>
        <v>1</v>
      </c>
      <c r="K10" s="71">
        <f>IF(AND($A$5&gt;4,$B$4&gt;8),"",1)</f>
        <v>1</v>
      </c>
      <c r="L10" s="71">
        <f>IF(AND($A$5&gt;4,$B$4&gt;9),"",1)</f>
        <v>1</v>
      </c>
      <c r="M10" s="71">
        <f>IF(AND($A$5&gt;4,$B$4&gt;10),"",1)</f>
        <v>1</v>
      </c>
      <c r="N10" s="71">
        <f>IF(AND($A$5&gt;4,$B$4&gt;11),"",1)</f>
        <v>1</v>
      </c>
      <c r="O10" s="71">
        <f>IF(AND($A$5&gt;4,$B$4&gt;12),"",1)</f>
        <v>1</v>
      </c>
      <c r="P10" s="71">
        <f>IF(AND($A$5&gt;4,$B$4&gt;13),"",1)</f>
        <v>1</v>
      </c>
      <c r="Q10" s="71">
        <f>IF(AND($A$5&gt;4,$B$4&gt;14),"",1)</f>
        <v>1</v>
      </c>
    </row>
    <row r="11" spans="1:17" x14ac:dyDescent="0.35">
      <c r="B11" s="49">
        <f>Challanges!D12</f>
        <v>0</v>
      </c>
      <c r="C11" s="71">
        <f>IF(AND($A$5&gt;5,$B$4&gt;2),"",1)</f>
        <v>1</v>
      </c>
      <c r="D11" s="71">
        <f>IF(AND($A$5&gt;5,$B$4&gt;2),"",1)</f>
        <v>1</v>
      </c>
      <c r="E11" s="71">
        <f>IF(AND($A$5&gt;5,$B$4&gt;2),"",1)</f>
        <v>1</v>
      </c>
      <c r="F11" s="71">
        <f>IF(AND($A$5&gt;5,$B$4&gt;3),"",1)</f>
        <v>1</v>
      </c>
      <c r="G11" s="71">
        <f>IF(AND($A$5&gt;5,$B$4&gt;4),"",1)</f>
        <v>1</v>
      </c>
      <c r="H11" s="71">
        <f>IF(AND($A$5&gt;4,$B$4&gt;5),"",1)</f>
        <v>1</v>
      </c>
      <c r="I11" s="71">
        <f>IF(AND($A$5&gt;5,$B$4&gt;6),"",1)</f>
        <v>1</v>
      </c>
      <c r="J11" s="71">
        <f>IF(AND($A$5&gt;5,$B$4&gt;7),"",1)</f>
        <v>1</v>
      </c>
      <c r="K11" s="71">
        <f>IF(AND($A$5&gt;5,$B$4&gt;8),"",1)</f>
        <v>1</v>
      </c>
      <c r="L11" s="71">
        <f>IF(AND($A$5&gt;5,$B$4&gt;9),"",1)</f>
        <v>1</v>
      </c>
      <c r="M11" s="71">
        <f>IF(AND($A$5&gt;5,$B$4&gt;10),"",1)</f>
        <v>1</v>
      </c>
      <c r="N11" s="71">
        <f>IF(AND($A$5&gt;5,$B$4&gt;11),"",1)</f>
        <v>1</v>
      </c>
      <c r="O11" s="71">
        <f>IF(AND($A$5&gt;5,$B$4&gt;12),"",1)</f>
        <v>1</v>
      </c>
      <c r="P11" s="71">
        <f>IF(AND($A$5&gt;5,$B$4&gt;13),"",1)</f>
        <v>1</v>
      </c>
      <c r="Q11" s="71">
        <f>IF(AND($A$5&gt;5,$B$4&gt;14),"",1)</f>
        <v>1</v>
      </c>
    </row>
    <row r="12" spans="1:17" x14ac:dyDescent="0.35">
      <c r="B12" s="49">
        <f>Challanges!D13</f>
        <v>0</v>
      </c>
      <c r="C12" s="71">
        <f>IF(AND($A$5&gt;6,$B$4&gt;2),"",1)</f>
        <v>1</v>
      </c>
      <c r="D12" s="71">
        <f>IF(AND($A$5&gt;6,$B$4&gt;2),"",1)</f>
        <v>1</v>
      </c>
      <c r="E12" s="71">
        <f>IF(AND($A$5&gt;6,$B$4&gt;2),"",1)</f>
        <v>1</v>
      </c>
      <c r="F12" s="71">
        <f>IF(AND($A$5&gt;6,$B$4&gt;3),"",1)</f>
        <v>1</v>
      </c>
      <c r="G12" s="71">
        <f>IF(AND($A$5&gt;6,$B$4&gt;4),"",1)</f>
        <v>1</v>
      </c>
      <c r="H12" s="71">
        <f>IF(AND($A$5&gt;6,$B$4&gt;5),"",1)</f>
        <v>1</v>
      </c>
      <c r="I12" s="71">
        <f>IF(AND($A$5&gt;6,$B$4&gt;6),"",1)</f>
        <v>1</v>
      </c>
      <c r="J12" s="71">
        <f>IF(AND($A$5&gt;6,$B$4&gt;7),"",1)</f>
        <v>1</v>
      </c>
      <c r="K12" s="71">
        <f>IF(AND($A$5&gt;6,$B$4&gt;8),"",1)</f>
        <v>1</v>
      </c>
      <c r="L12" s="71">
        <f>IF(AND($A$5&gt;6,$B$4&gt;9),"",1)</f>
        <v>1</v>
      </c>
      <c r="M12" s="71">
        <f>IF(AND($A$5&gt;6,$B$4&gt;10),"",1)</f>
        <v>1</v>
      </c>
      <c r="N12" s="71">
        <f>IF(AND($A$5&gt;6,$B$4&gt;11),"",1)</f>
        <v>1</v>
      </c>
      <c r="O12" s="71">
        <f>IF(AND($A$5&gt;6,$B$4&gt;12),"",1)</f>
        <v>1</v>
      </c>
      <c r="P12" s="71">
        <f>IF(AND($A$5&gt;6,$B$4&gt;13),"",1)</f>
        <v>1</v>
      </c>
      <c r="Q12" s="71">
        <f>IF(AND($A$5&gt;6,$B$4&gt;14),"",1)</f>
        <v>1</v>
      </c>
    </row>
    <row r="13" spans="1:17" x14ac:dyDescent="0.35">
      <c r="B13" s="49">
        <f>Challanges!D14</f>
        <v>0</v>
      </c>
      <c r="C13" s="71">
        <f>IF(AND($A$5&gt;7,$B$4&gt;2),"",1)</f>
        <v>1</v>
      </c>
      <c r="D13" s="71">
        <f>IF(AND($A$5&gt;7,$B$4&gt;2),"",1)</f>
        <v>1</v>
      </c>
      <c r="E13" s="71">
        <f>IF(AND($A$5&gt;7,$B$4&gt;2),"",1)</f>
        <v>1</v>
      </c>
      <c r="F13" s="71">
        <f>IF(AND($A$5&gt;7,$B$4&gt;3),"",1)</f>
        <v>1</v>
      </c>
      <c r="G13" s="71">
        <f>IF(AND($A$5&gt;7,$B$4&gt;4),"",1)</f>
        <v>1</v>
      </c>
      <c r="H13" s="71">
        <f>IF(AND($A$5&gt;7,$B$4&gt;5),"",1)</f>
        <v>1</v>
      </c>
      <c r="I13" s="71">
        <f>IF(AND($A$5&gt;7,$B$4&gt;6),"",1)</f>
        <v>1</v>
      </c>
      <c r="J13" s="71">
        <f t="shared" ref="J13" si="4">IF(AND($A$5&gt;7,$B$4&gt;7),"",1)</f>
        <v>1</v>
      </c>
      <c r="K13" s="71">
        <f>IF(AND($A$5&gt;7,$B$4&gt;8),"",1)</f>
        <v>1</v>
      </c>
      <c r="L13" s="71">
        <f>IF(AND($A$5&gt;7,$B$4&gt;9),"",1)</f>
        <v>1</v>
      </c>
      <c r="M13" s="71">
        <f>IF(AND($A$5&gt;7,$B$4&gt;10),"",1)</f>
        <v>1</v>
      </c>
      <c r="N13" s="71">
        <f>IF(AND($A$5&gt;7,$B$4&gt;11),"",1)</f>
        <v>1</v>
      </c>
      <c r="O13" s="71">
        <f>IF(AND($A$5&gt;7,$B$4&gt;12),"",1)</f>
        <v>1</v>
      </c>
      <c r="P13" s="71">
        <f>IF(AND($A$5&gt;7,$B$4&gt;13),"",1)</f>
        <v>1</v>
      </c>
      <c r="Q13" s="71">
        <f>IF(AND($A$5&gt;7,$B$4&gt;14),"",1)</f>
        <v>1</v>
      </c>
    </row>
    <row r="14" spans="1:17" x14ac:dyDescent="0.35">
      <c r="B14" s="49">
        <f>Challanges!D15</f>
        <v>0</v>
      </c>
      <c r="C14" s="71">
        <f>IF(AND($A$5&gt;8,$B$4&gt;2),"",1)</f>
        <v>1</v>
      </c>
      <c r="D14" s="71">
        <f>IF(AND($A$5&gt;8,$B$4&gt;2),"",1)</f>
        <v>1</v>
      </c>
      <c r="E14" s="71">
        <f>IF(AND($A$5&gt;8,$B$4&gt;2),"",1)</f>
        <v>1</v>
      </c>
      <c r="F14" s="71">
        <f>IF(AND($A$5&gt;8,$B$4&gt;3),"",1)</f>
        <v>1</v>
      </c>
      <c r="G14" s="71">
        <f>IF(AND($A$5&gt;8,$B$4&gt;4),"",1)</f>
        <v>1</v>
      </c>
      <c r="H14" s="71">
        <f>IF(AND($A$5&gt;8,$B$4&gt;5),"",1)</f>
        <v>1</v>
      </c>
      <c r="I14" s="71">
        <f>IF(AND($A$5&gt;8,$B$4&gt;6),"",1)</f>
        <v>1</v>
      </c>
      <c r="J14" s="71">
        <f>IF(AND($A$5&gt;8,$B$4&gt;7),"",1)</f>
        <v>1</v>
      </c>
      <c r="K14" s="71">
        <f t="shared" ref="K14" si="5">IF(AND($A$5&gt;8,$B$4&gt;8),"",1)</f>
        <v>1</v>
      </c>
      <c r="L14" s="71">
        <f>IF(AND($A$5&gt;8,$B$4&gt;9),"",1)</f>
        <v>1</v>
      </c>
      <c r="M14" s="71">
        <f>IF(AND($A$5&gt;8,$B$4&gt;10),"",1)</f>
        <v>1</v>
      </c>
      <c r="N14" s="71">
        <f>IF(AND($A$5&gt;8,$B$4&gt;11),"",1)</f>
        <v>1</v>
      </c>
      <c r="O14" s="71">
        <f>IF(AND($A$5&gt;8,$B$4&gt;12),"",1)</f>
        <v>1</v>
      </c>
      <c r="P14" s="71">
        <f>IF(AND($A$5&gt;8,$B$4&gt;13),"",1)</f>
        <v>1</v>
      </c>
      <c r="Q14" s="71">
        <f>IF(AND($A$5&gt;8,$B$4&gt;14),"",1)</f>
        <v>1</v>
      </c>
    </row>
    <row r="15" spans="1:17" x14ac:dyDescent="0.35">
      <c r="B15" s="49">
        <f>Challanges!D16</f>
        <v>0</v>
      </c>
      <c r="C15" s="71">
        <f>IF(AND($A$5&gt;9,$B$4&gt;2),"",1)</f>
        <v>1</v>
      </c>
      <c r="D15" s="71">
        <f>IF(AND($A$5&gt;9,$B$4&gt;2),"",1)</f>
        <v>1</v>
      </c>
      <c r="E15" s="71">
        <f>IF(AND($A$5&gt;9,$B$4&gt;2),"",1)</f>
        <v>1</v>
      </c>
      <c r="F15" s="71">
        <f>IF(AND($A$5&gt;9,$B$4&gt;3),"",1)</f>
        <v>1</v>
      </c>
      <c r="G15" s="71">
        <f>IF(AND($A$5&gt;9,$B$4&gt;4),"",1)</f>
        <v>1</v>
      </c>
      <c r="H15" s="71">
        <f>IF(AND($A$5&gt;9,$B$4&gt;5),"",1)</f>
        <v>1</v>
      </c>
      <c r="I15" s="71">
        <f>IF(AND($A$5&gt;9,$B$4&gt;6),"",1)</f>
        <v>1</v>
      </c>
      <c r="J15" s="71">
        <f>IF(AND($A$5&gt;9,$B$4&gt;7),"",1)</f>
        <v>1</v>
      </c>
      <c r="K15" s="71">
        <f>IF(AND($A$5&gt;9,$B$4&gt;8),"",1)</f>
        <v>1</v>
      </c>
      <c r="L15" s="71">
        <f t="shared" ref="L15" si="6">IF(AND($A$5&gt;9,$B$4&gt;9),"",1)</f>
        <v>1</v>
      </c>
      <c r="M15" s="71">
        <f>IF(AND($A$5&gt;9,$B$4&gt;10),"",1)</f>
        <v>1</v>
      </c>
      <c r="N15" s="71">
        <f>IF(AND($A$5&gt;9,$B$4&gt;11),"",1)</f>
        <v>1</v>
      </c>
      <c r="O15" s="71">
        <f>IF(AND($A$5&gt;9,$B$4&gt;12),"",1)</f>
        <v>1</v>
      </c>
      <c r="P15" s="71">
        <f>IF(AND($A$5&gt;9,$B$4&gt;13),"",1)</f>
        <v>1</v>
      </c>
      <c r="Q15" s="71">
        <f>IF(AND($A$5&gt;9,$B$4&gt;14),"",1)</f>
        <v>1</v>
      </c>
    </row>
    <row r="16" spans="1:17" x14ac:dyDescent="0.35">
      <c r="B16" s="49">
        <f>Challanges!D17</f>
        <v>0</v>
      </c>
      <c r="C16" s="71">
        <f>IF(AND($A$5&gt;10,$B$4&gt;2),"",1)</f>
        <v>1</v>
      </c>
      <c r="D16" s="71">
        <f>IF(AND($A$5&gt;10,$B$4&gt;2),"",1)</f>
        <v>1</v>
      </c>
      <c r="E16" s="71">
        <f>IF(AND($A$5&gt;10,$B$4&gt;2),"",1)</f>
        <v>1</v>
      </c>
      <c r="F16" s="71">
        <f>IF(AND($A$5&gt;10,$B$4&gt;3),"",1)</f>
        <v>1</v>
      </c>
      <c r="G16" s="71">
        <f>IF(AND($A$5&gt;10,$B$4&gt;4),"",1)</f>
        <v>1</v>
      </c>
      <c r="H16" s="71">
        <f>IF(AND($A$5&gt;10,$B$4&gt;5),"",1)</f>
        <v>1</v>
      </c>
      <c r="I16" s="71">
        <f>IF(AND($A$5&gt;10,$B$4&gt;6),"",1)</f>
        <v>1</v>
      </c>
      <c r="J16" s="71">
        <f>IF(AND($A$5&gt;10,$B$4&gt;7),"",1)</f>
        <v>1</v>
      </c>
      <c r="K16" s="71">
        <f>IF(AND($A$5&gt;10,$B$4&gt;8),"",1)</f>
        <v>1</v>
      </c>
      <c r="L16" s="71">
        <f>IF(AND($A$5&gt;10,$B$4&gt;9),"",1)</f>
        <v>1</v>
      </c>
      <c r="M16" s="71">
        <f>IF(AND($A$5&gt;10,$B$4&gt;10),"",1)</f>
        <v>1</v>
      </c>
      <c r="N16" s="71">
        <f>IF(AND($A$5&gt;10,$B$4&gt;11),"",1)</f>
        <v>1</v>
      </c>
      <c r="O16" s="71">
        <f>IF(AND($A$5&gt;10,$B$4&gt;12),"",1)</f>
        <v>1</v>
      </c>
      <c r="P16" s="71">
        <f>IF(AND($A$5&gt;10,$B$4&gt;13),"",1)</f>
        <v>1</v>
      </c>
      <c r="Q16" s="71">
        <f>IF(AND($A$5&gt;10,$B$4&gt;14),"",1)</f>
        <v>1</v>
      </c>
    </row>
    <row r="17" spans="2:17" x14ac:dyDescent="0.35">
      <c r="B17" s="49">
        <f>Challanges!D18</f>
        <v>0</v>
      </c>
      <c r="C17" s="71">
        <f>IF(AND($A$5&gt;11,$B$4&gt;2),"",1)</f>
        <v>1</v>
      </c>
      <c r="D17" s="71">
        <f>IF(AND($A$5&gt;11,$B$4&gt;2),"",1)</f>
        <v>1</v>
      </c>
      <c r="E17" s="71">
        <f>IF(AND($A$5&gt;11,$B$4&gt;2),"",1)</f>
        <v>1</v>
      </c>
      <c r="F17" s="71">
        <f>IF(AND($A$5&gt;11,$B$4&gt;3),"",1)</f>
        <v>1</v>
      </c>
      <c r="G17" s="71">
        <f>IF(AND($A$5&gt;11,$B$4&gt;4),"",1)</f>
        <v>1</v>
      </c>
      <c r="H17" s="71">
        <f>IF(AND($A$5&gt;11,$B$4&gt;5),"",1)</f>
        <v>1</v>
      </c>
      <c r="I17" s="71">
        <f>IF(AND($A$5&gt;11,$B$4&gt;6),"",1)</f>
        <v>1</v>
      </c>
      <c r="J17" s="71">
        <f>IF(AND($A$5&gt;11,$B$4&gt;7),"",1)</f>
        <v>1</v>
      </c>
      <c r="K17" s="71">
        <f>IF(AND($A$5&gt;11,$B$4&gt;8),"",1)</f>
        <v>1</v>
      </c>
      <c r="L17" s="71">
        <f>IF(AND($A$5&gt;11,$B$4&gt;9),"",1)</f>
        <v>1</v>
      </c>
      <c r="M17" s="71">
        <f>IF(AND($A$5&gt;11,$B$4&gt;10),"",1)</f>
        <v>1</v>
      </c>
      <c r="N17" s="71">
        <f t="shared" ref="N17" si="7">IF(AND($A$5&gt;11,$B$4&gt;11),"",1)</f>
        <v>1</v>
      </c>
      <c r="O17" s="71">
        <f>IF(AND($A$5&gt;11,$B$4&gt;12),"",1)</f>
        <v>1</v>
      </c>
      <c r="P17" s="71">
        <f>IF(AND($A$5&gt;11,$B$4&gt;13),"",1)</f>
        <v>1</v>
      </c>
      <c r="Q17" s="71">
        <f>IF(AND($A$5&gt;11,$B$4&gt;14),"",1)</f>
        <v>1</v>
      </c>
    </row>
    <row r="18" spans="2:17" x14ac:dyDescent="0.35">
      <c r="B18" s="49">
        <f>Challanges!D19</f>
        <v>0</v>
      </c>
      <c r="C18" s="71">
        <f>IF(AND($A$5&gt;12,$B$4&gt;2),"",1)</f>
        <v>1</v>
      </c>
      <c r="D18" s="71">
        <f>IF(AND($A$5&gt;12,$B$4&gt;2),"",1)</f>
        <v>1</v>
      </c>
      <c r="E18" s="71">
        <f>IF(AND($A$5&gt;12,$B$4&gt;2),"",1)</f>
        <v>1</v>
      </c>
      <c r="F18" s="71">
        <f>IF(AND($A$5&gt;12,$B$4&gt;3),"",1)</f>
        <v>1</v>
      </c>
      <c r="G18" s="71">
        <f>IF(AND($A$5&gt;12,$B$4&gt;4),"",1)</f>
        <v>1</v>
      </c>
      <c r="H18" s="71">
        <f>IF(AND($A$5&gt;12,$B$4&gt;5),"",1)</f>
        <v>1</v>
      </c>
      <c r="I18" s="71">
        <f>IF(AND($A$5&gt;12,$B$4&gt;6),"",1)</f>
        <v>1</v>
      </c>
      <c r="J18" s="71">
        <f>IF(AND($A$5&gt;12,$B$4&gt;7),"",1)</f>
        <v>1</v>
      </c>
      <c r="K18" s="71">
        <f>IF(AND($A$5&gt;12,$B$4&gt;8),"",1)</f>
        <v>1</v>
      </c>
      <c r="L18" s="71">
        <f>IF(AND($A$5&gt;12,$B$4&gt;9),"",1)</f>
        <v>1</v>
      </c>
      <c r="M18" s="71">
        <f>IF(AND($A$5&gt;12,$B$4&gt;10),"",1)</f>
        <v>1</v>
      </c>
      <c r="N18" s="71">
        <f>IF(AND($A$5&gt;12,$B$4&gt;11),"",1)</f>
        <v>1</v>
      </c>
      <c r="O18" s="71">
        <f t="shared" ref="O18" si="8">IF(AND($A$5&gt;12,$B$4&gt;12),"",1)</f>
        <v>1</v>
      </c>
      <c r="P18" s="71">
        <f>IF(AND($A$5&gt;12,$B$4&gt;13),"",1)</f>
        <v>1</v>
      </c>
      <c r="Q18" s="71">
        <f>IF(AND($A$5&gt;12,$B$4&gt;14),"",1)</f>
        <v>1</v>
      </c>
    </row>
    <row r="19" spans="2:17" x14ac:dyDescent="0.35">
      <c r="B19" s="49">
        <f>Challanges!D20</f>
        <v>0</v>
      </c>
      <c r="C19" s="71">
        <f>IF(AND($A$5&gt;13,$B$4&gt;2),"",1)</f>
        <v>1</v>
      </c>
      <c r="D19" s="71">
        <f>IF(AND($A$5&gt;13,$B$4&gt;2),"",1)</f>
        <v>1</v>
      </c>
      <c r="E19" s="71">
        <f>IF(AND($A$5&gt;13,$B$4&gt;2),"",1)</f>
        <v>1</v>
      </c>
      <c r="F19" s="71">
        <f>IF(AND($A$5&gt;13,$B$4&gt;3),"",1)</f>
        <v>1</v>
      </c>
      <c r="G19" s="71">
        <f>IF(AND($A$5&gt;13,$B$4&gt;4),"",1)</f>
        <v>1</v>
      </c>
      <c r="H19" s="71">
        <f>IF(AND($A$5&gt;13,$B$4&gt;5),"",1)</f>
        <v>1</v>
      </c>
      <c r="I19" s="71">
        <f>IF(AND($A$5&gt;13,$B$4&gt;6),"",1)</f>
        <v>1</v>
      </c>
      <c r="J19" s="71">
        <f>IF(AND($A$5&gt;13,$B$4&gt;7),"",1)</f>
        <v>1</v>
      </c>
      <c r="K19" s="71">
        <f>IF(AND($A$5&gt;13,$B$4&gt;8),"",1)</f>
        <v>1</v>
      </c>
      <c r="L19" s="71">
        <f>IF(AND($A$5&gt;13,$B$4&gt;9),"",1)</f>
        <v>1</v>
      </c>
      <c r="M19" s="71">
        <f>IF(AND($A$5&gt;13,$B$4&gt;10),"",1)</f>
        <v>1</v>
      </c>
      <c r="N19" s="71">
        <f>IF(AND($A$5&gt;13,$B$4&gt;11),"",1)</f>
        <v>1</v>
      </c>
      <c r="O19" s="71">
        <f>IF(AND($A$5&gt;13,$B$4&gt;12),"",1)</f>
        <v>1</v>
      </c>
      <c r="P19" s="71">
        <f t="shared" ref="P19" si="9">IF(AND($A$5&gt;13,$B$4&gt;13),"",1)</f>
        <v>1</v>
      </c>
      <c r="Q19" s="71">
        <f>IF(AND($A$5&gt;13,$B$4&gt;14),"",1)</f>
        <v>1</v>
      </c>
    </row>
    <row r="20" spans="2:17" ht="15" thickBot="1" x14ac:dyDescent="0.4">
      <c r="B20" s="50">
        <f>Challanges!D21</f>
        <v>0</v>
      </c>
      <c r="C20" s="71">
        <f>IF(AND($A$5&gt;14,$B$4&gt;2),"",1)</f>
        <v>1</v>
      </c>
      <c r="D20" s="71">
        <f>IF(AND($A$5&gt;14,$B$4&gt;2),"",1)</f>
        <v>1</v>
      </c>
      <c r="E20" s="71">
        <f>IF(AND($A$5&gt;14,$B$4&gt;2),"",1)</f>
        <v>1</v>
      </c>
      <c r="F20" s="71">
        <f>IF(AND($A$5&gt;14,$B$4&gt;3),"",1)</f>
        <v>1</v>
      </c>
      <c r="G20" s="71">
        <f>IF(AND($A$5&gt;14,$B$4&gt;4),"",1)</f>
        <v>1</v>
      </c>
      <c r="H20" s="71">
        <f>IF(AND($A$5&gt;14,$B$4&gt;5),"",1)</f>
        <v>1</v>
      </c>
      <c r="I20" s="71">
        <f>IF(AND($A$5&gt;14,$B$4&gt;6),"",1)</f>
        <v>1</v>
      </c>
      <c r="J20" s="71">
        <f>IF(AND($A$5&gt;14,$B$4&gt;7),"",1)</f>
        <v>1</v>
      </c>
      <c r="K20" s="71">
        <f>IF(AND($A$5&gt;14,$B$4&gt;8),"",1)</f>
        <v>1</v>
      </c>
      <c r="L20" s="71">
        <f>IF(AND($A$5&gt;14,$B$4&gt;9),"",1)</f>
        <v>1</v>
      </c>
      <c r="M20" s="71">
        <f>IF(AND($A$5&gt;14,$B$4&gt;10),"",1)</f>
        <v>1</v>
      </c>
      <c r="N20" s="71">
        <f>IF(AND($A$5&gt;14,$B$4&gt;11),"",1)</f>
        <v>1</v>
      </c>
      <c r="O20" s="71">
        <f>IF(AND($A$5&gt;14,$B$4&gt;12),"",1)</f>
        <v>1</v>
      </c>
      <c r="P20" s="71">
        <f>IF(AND($A$5&gt;14,$B$4&gt;13),"",1)</f>
        <v>1</v>
      </c>
      <c r="Q20" s="71">
        <f t="shared" ref="Q20" si="10">IF(AND($A$5&gt;14,$B$4&gt;14),"",1)</f>
        <v>1</v>
      </c>
    </row>
  </sheetData>
  <sheetProtection algorithmName="SHA-512" hashValue="rnozKCAEg7PTmP9CeMC5T6/otM6nFW9Tt21vsrflNNfNE3z1pLYWMG7GfiU/nqQ2q7QtgGoJ3R52BlzjNNC2sA==" saltValue="GPl/52loHvk0xWAe0cOQmw==" spinCount="100000" sheet="1" objects="1" scenarios="1" selectLockedCells="1"/>
  <mergeCells count="1">
    <mergeCell ref="G1:M1"/>
  </mergeCells>
  <conditionalFormatting sqref="B6:B20">
    <cfRule type="cellIs" dxfId="41" priority="2" operator="equal">
      <formula>0</formula>
    </cfRule>
  </conditionalFormatting>
  <conditionalFormatting sqref="C5:Q5">
    <cfRule type="cellIs" dxfId="40" priority="1" operator="equal">
      <formula>0</formula>
    </cfRule>
  </conditionalFormatting>
  <conditionalFormatting sqref="C6:Q20">
    <cfRule type="cellIs" dxfId="39" priority="3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4C3F-49A4-4A06-84A9-9DB3E89D4E70}">
  <sheetPr codeName="Sheet5"/>
  <dimension ref="A1:T27"/>
  <sheetViews>
    <sheetView tabSelected="1" workbookViewId="0">
      <selection activeCell="C5" sqref="C5"/>
    </sheetView>
  </sheetViews>
  <sheetFormatPr defaultRowHeight="14.5" x14ac:dyDescent="0.35"/>
  <cols>
    <col min="19" max="19" width="11.453125" bestFit="1" customWidth="1"/>
    <col min="20" max="20" width="10.81640625" bestFit="1" customWidth="1"/>
  </cols>
  <sheetData>
    <row r="1" spans="1:20" x14ac:dyDescent="0.35">
      <c r="B1" s="4" t="s">
        <v>32</v>
      </c>
    </row>
    <row r="3" spans="1:20" x14ac:dyDescent="0.35">
      <c r="A3" s="75"/>
      <c r="B3" s="75"/>
      <c r="C3" s="79" cm="1">
        <f t="array" ref="C3:Q3">TRANSPOSE('Kriteria&amp;Bobot'!E6:E20)</f>
        <v>1</v>
      </c>
      <c r="D3" s="19">
        <v>1</v>
      </c>
      <c r="E3" s="19">
        <v>1</v>
      </c>
      <c r="F3" s="19">
        <v>1</v>
      </c>
      <c r="G3" s="19">
        <v>1</v>
      </c>
      <c r="H3" s="19">
        <v>1</v>
      </c>
      <c r="I3" s="19">
        <v>1</v>
      </c>
      <c r="J3" s="19">
        <v>1</v>
      </c>
      <c r="K3" s="19">
        <v>1</v>
      </c>
      <c r="L3" s="19">
        <v>1</v>
      </c>
      <c r="M3" s="19">
        <v>1</v>
      </c>
      <c r="N3" s="19">
        <v>1</v>
      </c>
      <c r="O3" s="19">
        <v>1</v>
      </c>
      <c r="P3" s="19">
        <v>1</v>
      </c>
      <c r="Q3" s="19">
        <v>1</v>
      </c>
      <c r="R3" s="75"/>
      <c r="S3" s="75"/>
      <c r="T3" s="75"/>
    </row>
    <row r="4" spans="1:20" ht="15.5" x14ac:dyDescent="0.35">
      <c r="A4" s="75"/>
      <c r="B4" s="85" t="s">
        <v>33</v>
      </c>
      <c r="C4" s="10" cm="1">
        <f t="array" ref="C4:Q4">TRANSPOSE('Kriteria&amp;Bobot'!D6:D20)</f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 t="s">
        <v>34</v>
      </c>
      <c r="S4" s="10" t="s">
        <v>35</v>
      </c>
      <c r="T4" s="10" t="s">
        <v>36</v>
      </c>
    </row>
    <row r="5" spans="1:20" x14ac:dyDescent="0.35">
      <c r="A5" s="78">
        <f>'Kriteria&amp;Bobot'!E6</f>
        <v>1</v>
      </c>
      <c r="B5" s="10">
        <f>'Kriteria&amp;Bobot'!D6</f>
        <v>0</v>
      </c>
      <c r="C5" s="25">
        <f>IF(OR(C3=1,$A$5=1),1,$A$5/C3)</f>
        <v>1</v>
      </c>
      <c r="D5" s="25">
        <f t="shared" ref="D5:Q5" si="0">IF(OR(D3=1,$A$5=1),1,$A$5/D3)</f>
        <v>1</v>
      </c>
      <c r="E5" s="25">
        <f t="shared" si="0"/>
        <v>1</v>
      </c>
      <c r="F5" s="25">
        <f t="shared" si="0"/>
        <v>1</v>
      </c>
      <c r="G5" s="25">
        <f t="shared" si="0"/>
        <v>1</v>
      </c>
      <c r="H5" s="25">
        <f t="shared" si="0"/>
        <v>1</v>
      </c>
      <c r="I5" s="25">
        <f t="shared" si="0"/>
        <v>1</v>
      </c>
      <c r="J5" s="25">
        <f t="shared" si="0"/>
        <v>1</v>
      </c>
      <c r="K5" s="25">
        <f t="shared" si="0"/>
        <v>1</v>
      </c>
      <c r="L5" s="25">
        <f t="shared" si="0"/>
        <v>1</v>
      </c>
      <c r="M5" s="25">
        <f t="shared" si="0"/>
        <v>1</v>
      </c>
      <c r="N5" s="25">
        <f t="shared" si="0"/>
        <v>1</v>
      </c>
      <c r="O5" s="25">
        <f t="shared" si="0"/>
        <v>1</v>
      </c>
      <c r="P5" s="25">
        <f t="shared" si="0"/>
        <v>1</v>
      </c>
      <c r="Q5" s="25">
        <f t="shared" si="0"/>
        <v>1</v>
      </c>
      <c r="R5" s="8">
        <f>IF(A5=1,0,(C5*D5*E5*F5*G5*H5*I5*J5*K5*L5*M5*N5*O5*P5*Q5)^(1/'Kriteria&amp;Bobot'!$E$3))</f>
        <v>0</v>
      </c>
      <c r="S5" s="21" t="e">
        <f>R5/$R$20</f>
        <v>#DIV/0!</v>
      </c>
      <c r="T5" s="8">
        <f>IF(A5=1,0,(C5*$S$5+D5*$S$6+E5*$S$7+F5*$S$8+G5*$S$9+H5*$S$10+I5*$S$11+J5*$S$12+K5*$S$13+L5*$S$14+M5*$S$15+N5*$S$16+O5*$S$17+P5*$S$18+Q5*$S$19)/S5)</f>
        <v>0</v>
      </c>
    </row>
    <row r="6" spans="1:20" x14ac:dyDescent="0.35">
      <c r="A6" s="19">
        <f>'Kriteria&amp;Bobot'!E7</f>
        <v>1</v>
      </c>
      <c r="B6" s="10">
        <f>'Kriteria&amp;Bobot'!D7</f>
        <v>0</v>
      </c>
      <c r="C6" s="25">
        <f>IF(OR(C3=1,$A$6=1),1,$A$6/C3)</f>
        <v>1</v>
      </c>
      <c r="D6" s="25">
        <f t="shared" ref="D6:Q6" si="1">IF(OR(D3=1,$A$6=1),1,$A$6/D3)</f>
        <v>1</v>
      </c>
      <c r="E6" s="25">
        <f t="shared" si="1"/>
        <v>1</v>
      </c>
      <c r="F6" s="25">
        <f t="shared" si="1"/>
        <v>1</v>
      </c>
      <c r="G6" s="25">
        <f t="shared" si="1"/>
        <v>1</v>
      </c>
      <c r="H6" s="25">
        <f t="shared" si="1"/>
        <v>1</v>
      </c>
      <c r="I6" s="25">
        <f t="shared" si="1"/>
        <v>1</v>
      </c>
      <c r="J6" s="25">
        <f t="shared" si="1"/>
        <v>1</v>
      </c>
      <c r="K6" s="25">
        <f t="shared" si="1"/>
        <v>1</v>
      </c>
      <c r="L6" s="25">
        <f t="shared" si="1"/>
        <v>1</v>
      </c>
      <c r="M6" s="25">
        <f t="shared" si="1"/>
        <v>1</v>
      </c>
      <c r="N6" s="25">
        <f t="shared" si="1"/>
        <v>1</v>
      </c>
      <c r="O6" s="25">
        <f t="shared" si="1"/>
        <v>1</v>
      </c>
      <c r="P6" s="25">
        <f t="shared" si="1"/>
        <v>1</v>
      </c>
      <c r="Q6" s="25">
        <f t="shared" si="1"/>
        <v>1</v>
      </c>
      <c r="R6" s="8">
        <f>IF(A6=1,0,(C6*D6*E6*F6*G6*H6*I6*J6*K6*L6*M6*N6*O6*P6*Q6)^(1/'Kriteria&amp;Bobot'!$E$3))</f>
        <v>0</v>
      </c>
      <c r="S6" s="21" t="e">
        <f t="shared" ref="S6:S19" si="2">R6/$R$20</f>
        <v>#DIV/0!</v>
      </c>
      <c r="T6" s="8">
        <f t="shared" ref="T6:T19" si="3">IF(A6=1,0,(C6*$S$5+D6*$S$6+E6*$S$7+F6*$S$8+G6*$S$9+H6*$S$10+I6*$S$11+J6*$S$12+K6*$S$13+L6*$S$14+M6*$S$15+N6*$S$16+O6*$S$17+P6*$S$18+Q6*$S$19)/S6)</f>
        <v>0</v>
      </c>
    </row>
    <row r="7" spans="1:20" x14ac:dyDescent="0.35">
      <c r="A7" s="19">
        <f>'Kriteria&amp;Bobot'!E8</f>
        <v>1</v>
      </c>
      <c r="B7" s="10">
        <f>'Kriteria&amp;Bobot'!D8</f>
        <v>0</v>
      </c>
      <c r="C7" s="25">
        <f>IF(OR(C3=1,$A$7=1),1,$A$7/C3)</f>
        <v>1</v>
      </c>
      <c r="D7" s="25">
        <f t="shared" ref="D7:Q7" si="4">IF(OR(D3=1,$A$7=1),1,$A$7/D3)</f>
        <v>1</v>
      </c>
      <c r="E7" s="25">
        <f t="shared" si="4"/>
        <v>1</v>
      </c>
      <c r="F7" s="25">
        <f t="shared" si="4"/>
        <v>1</v>
      </c>
      <c r="G7" s="25">
        <f t="shared" si="4"/>
        <v>1</v>
      </c>
      <c r="H7" s="25">
        <f t="shared" si="4"/>
        <v>1</v>
      </c>
      <c r="I7" s="25">
        <f t="shared" si="4"/>
        <v>1</v>
      </c>
      <c r="J7" s="25">
        <f t="shared" si="4"/>
        <v>1</v>
      </c>
      <c r="K7" s="25">
        <f t="shared" si="4"/>
        <v>1</v>
      </c>
      <c r="L7" s="25">
        <f t="shared" si="4"/>
        <v>1</v>
      </c>
      <c r="M7" s="25">
        <f t="shared" si="4"/>
        <v>1</v>
      </c>
      <c r="N7" s="25">
        <f t="shared" si="4"/>
        <v>1</v>
      </c>
      <c r="O7" s="25">
        <f t="shared" si="4"/>
        <v>1</v>
      </c>
      <c r="P7" s="25">
        <f t="shared" si="4"/>
        <v>1</v>
      </c>
      <c r="Q7" s="25">
        <f t="shared" si="4"/>
        <v>1</v>
      </c>
      <c r="R7" s="8">
        <f>IF(A7=1,0,(C7*D7*E7*F7*G7*H7*I7*J7*K7*L7*M7*N7*O7*P7*Q7)^(1/'Kriteria&amp;Bobot'!$E$3))</f>
        <v>0</v>
      </c>
      <c r="S7" s="21" t="e">
        <f t="shared" si="2"/>
        <v>#DIV/0!</v>
      </c>
      <c r="T7" s="8">
        <f t="shared" si="3"/>
        <v>0</v>
      </c>
    </row>
    <row r="8" spans="1:20" x14ac:dyDescent="0.35">
      <c r="A8" s="19">
        <f>'Kriteria&amp;Bobot'!E9</f>
        <v>1</v>
      </c>
      <c r="B8" s="10">
        <f>'Kriteria&amp;Bobot'!D9</f>
        <v>0</v>
      </c>
      <c r="C8" s="25">
        <f>IF(OR(C3=1,$A$8=1),1,$A$8/C3)</f>
        <v>1</v>
      </c>
      <c r="D8" s="25">
        <f t="shared" ref="D8:Q8" si="5">IF(OR(D3=1,$A$8=1),1,$A$8/D3)</f>
        <v>1</v>
      </c>
      <c r="E8" s="25">
        <f t="shared" si="5"/>
        <v>1</v>
      </c>
      <c r="F8" s="25">
        <f t="shared" si="5"/>
        <v>1</v>
      </c>
      <c r="G8" s="25">
        <f t="shared" si="5"/>
        <v>1</v>
      </c>
      <c r="H8" s="25">
        <f t="shared" si="5"/>
        <v>1</v>
      </c>
      <c r="I8" s="25">
        <f t="shared" si="5"/>
        <v>1</v>
      </c>
      <c r="J8" s="25">
        <f t="shared" si="5"/>
        <v>1</v>
      </c>
      <c r="K8" s="25">
        <f t="shared" si="5"/>
        <v>1</v>
      </c>
      <c r="L8" s="25">
        <f t="shared" si="5"/>
        <v>1</v>
      </c>
      <c r="M8" s="25">
        <f t="shared" si="5"/>
        <v>1</v>
      </c>
      <c r="N8" s="25">
        <f t="shared" si="5"/>
        <v>1</v>
      </c>
      <c r="O8" s="25">
        <f t="shared" si="5"/>
        <v>1</v>
      </c>
      <c r="P8" s="25">
        <f t="shared" si="5"/>
        <v>1</v>
      </c>
      <c r="Q8" s="25">
        <f t="shared" si="5"/>
        <v>1</v>
      </c>
      <c r="R8" s="8">
        <f>IF(A8=1,0,(C8*D8*E8*F8*G8*H8*I8*J8*K8*L8*M8*N8*O8*P8*Q8)^(1/'Kriteria&amp;Bobot'!$E$3))</f>
        <v>0</v>
      </c>
      <c r="S8" s="21" t="e">
        <f t="shared" si="2"/>
        <v>#DIV/0!</v>
      </c>
      <c r="T8" s="8">
        <f t="shared" si="3"/>
        <v>0</v>
      </c>
    </row>
    <row r="9" spans="1:20" x14ac:dyDescent="0.35">
      <c r="A9" s="19">
        <f>'Kriteria&amp;Bobot'!E10</f>
        <v>1</v>
      </c>
      <c r="B9" s="10">
        <f>'Kriteria&amp;Bobot'!D10</f>
        <v>0</v>
      </c>
      <c r="C9" s="25">
        <f>IF(OR(C3=1,$A$9=1),1,$A$9/C3)</f>
        <v>1</v>
      </c>
      <c r="D9" s="25">
        <f t="shared" ref="D9:Q9" si="6">IF(OR(D3=1,$A$9=1),1,$A$9/D3)</f>
        <v>1</v>
      </c>
      <c r="E9" s="25">
        <f t="shared" si="6"/>
        <v>1</v>
      </c>
      <c r="F9" s="25">
        <f t="shared" si="6"/>
        <v>1</v>
      </c>
      <c r="G9" s="25">
        <f t="shared" si="6"/>
        <v>1</v>
      </c>
      <c r="H9" s="25">
        <f t="shared" si="6"/>
        <v>1</v>
      </c>
      <c r="I9" s="25">
        <f t="shared" si="6"/>
        <v>1</v>
      </c>
      <c r="J9" s="25">
        <f t="shared" si="6"/>
        <v>1</v>
      </c>
      <c r="K9" s="25">
        <f t="shared" si="6"/>
        <v>1</v>
      </c>
      <c r="L9" s="25">
        <f t="shared" si="6"/>
        <v>1</v>
      </c>
      <c r="M9" s="25">
        <f t="shared" si="6"/>
        <v>1</v>
      </c>
      <c r="N9" s="25">
        <f t="shared" si="6"/>
        <v>1</v>
      </c>
      <c r="O9" s="25">
        <f t="shared" si="6"/>
        <v>1</v>
      </c>
      <c r="P9" s="25">
        <f t="shared" si="6"/>
        <v>1</v>
      </c>
      <c r="Q9" s="25">
        <f t="shared" si="6"/>
        <v>1</v>
      </c>
      <c r="R9" s="8">
        <f>IF(A9=1,0,(C9*D9*E9*F9*G9*H9*I9*J9*K9*L9*M9*N9*O9*P9*Q9)^(1/'Kriteria&amp;Bobot'!$E$3))</f>
        <v>0</v>
      </c>
      <c r="S9" s="21" t="e">
        <f t="shared" si="2"/>
        <v>#DIV/0!</v>
      </c>
      <c r="T9" s="8">
        <f t="shared" si="3"/>
        <v>0</v>
      </c>
    </row>
    <row r="10" spans="1:20" x14ac:dyDescent="0.35">
      <c r="A10" s="19">
        <f>'Kriteria&amp;Bobot'!E11</f>
        <v>1</v>
      </c>
      <c r="B10" s="10">
        <f>'Kriteria&amp;Bobot'!D11</f>
        <v>0</v>
      </c>
      <c r="C10" s="25">
        <f>IF(OR(C3=1,$A$10=1),1,$A$10/C3)</f>
        <v>1</v>
      </c>
      <c r="D10" s="25">
        <f t="shared" ref="D10:Q10" si="7">IF(OR(D3=1,$A$10=1),1,$A$10/D3)</f>
        <v>1</v>
      </c>
      <c r="E10" s="25">
        <f t="shared" si="7"/>
        <v>1</v>
      </c>
      <c r="F10" s="25">
        <f t="shared" si="7"/>
        <v>1</v>
      </c>
      <c r="G10" s="25">
        <f t="shared" si="7"/>
        <v>1</v>
      </c>
      <c r="H10" s="25">
        <f t="shared" si="7"/>
        <v>1</v>
      </c>
      <c r="I10" s="25">
        <f t="shared" si="7"/>
        <v>1</v>
      </c>
      <c r="J10" s="25">
        <f t="shared" si="7"/>
        <v>1</v>
      </c>
      <c r="K10" s="25">
        <f t="shared" si="7"/>
        <v>1</v>
      </c>
      <c r="L10" s="25">
        <f t="shared" si="7"/>
        <v>1</v>
      </c>
      <c r="M10" s="25">
        <f t="shared" si="7"/>
        <v>1</v>
      </c>
      <c r="N10" s="25">
        <f t="shared" si="7"/>
        <v>1</v>
      </c>
      <c r="O10" s="25">
        <f t="shared" si="7"/>
        <v>1</v>
      </c>
      <c r="P10" s="25">
        <f t="shared" si="7"/>
        <v>1</v>
      </c>
      <c r="Q10" s="25">
        <f t="shared" si="7"/>
        <v>1</v>
      </c>
      <c r="R10" s="8">
        <f>IF(A10=1,0,(C10*D10*E10*F10*G10*H10*I10*J10*K10*L10*M10*N10*O10*P10*Q10)^(1/'Kriteria&amp;Bobot'!$E$3))</f>
        <v>0</v>
      </c>
      <c r="S10" s="21" t="e">
        <f t="shared" si="2"/>
        <v>#DIV/0!</v>
      </c>
      <c r="T10" s="8">
        <f t="shared" si="3"/>
        <v>0</v>
      </c>
    </row>
    <row r="11" spans="1:20" x14ac:dyDescent="0.35">
      <c r="A11" s="19">
        <f>'Kriteria&amp;Bobot'!E12</f>
        <v>1</v>
      </c>
      <c r="B11" s="10">
        <f>'Kriteria&amp;Bobot'!D12</f>
        <v>0</v>
      </c>
      <c r="C11" s="25">
        <f>IF(OR(C3=1,$A$11=1),1,$A$11/C3)</f>
        <v>1</v>
      </c>
      <c r="D11" s="25">
        <f t="shared" ref="D11:Q11" si="8">IF(OR(D3=1,$A$11=1),1,$A$11/D3)</f>
        <v>1</v>
      </c>
      <c r="E11" s="25">
        <f t="shared" si="8"/>
        <v>1</v>
      </c>
      <c r="F11" s="25">
        <f t="shared" si="8"/>
        <v>1</v>
      </c>
      <c r="G11" s="25">
        <f t="shared" si="8"/>
        <v>1</v>
      </c>
      <c r="H11" s="25">
        <f t="shared" si="8"/>
        <v>1</v>
      </c>
      <c r="I11" s="25">
        <f t="shared" si="8"/>
        <v>1</v>
      </c>
      <c r="J11" s="25">
        <f t="shared" si="8"/>
        <v>1</v>
      </c>
      <c r="K11" s="25">
        <f t="shared" si="8"/>
        <v>1</v>
      </c>
      <c r="L11" s="25">
        <f t="shared" si="8"/>
        <v>1</v>
      </c>
      <c r="M11" s="25">
        <f t="shared" si="8"/>
        <v>1</v>
      </c>
      <c r="N11" s="25">
        <f t="shared" si="8"/>
        <v>1</v>
      </c>
      <c r="O11" s="25">
        <f t="shared" si="8"/>
        <v>1</v>
      </c>
      <c r="P11" s="25">
        <f t="shared" si="8"/>
        <v>1</v>
      </c>
      <c r="Q11" s="25">
        <f t="shared" si="8"/>
        <v>1</v>
      </c>
      <c r="R11" s="8">
        <f>IF(A11=1,0,(C11*D11*E11*F11*G11*H11*I11*J11*K11*L11*M11*N11*O11*P11*Q11)^(1/'Kriteria&amp;Bobot'!$E$3))</f>
        <v>0</v>
      </c>
      <c r="S11" s="21" t="e">
        <f t="shared" si="2"/>
        <v>#DIV/0!</v>
      </c>
      <c r="T11" s="8">
        <f t="shared" si="3"/>
        <v>0</v>
      </c>
    </row>
    <row r="12" spans="1:20" x14ac:dyDescent="0.35">
      <c r="A12" s="19">
        <f>'Kriteria&amp;Bobot'!E13</f>
        <v>1</v>
      </c>
      <c r="B12" s="10">
        <f>'Kriteria&amp;Bobot'!D13</f>
        <v>0</v>
      </c>
      <c r="C12" s="25">
        <f>IF(OR(C3=1,$A$12=1),1,$A$12/C3)</f>
        <v>1</v>
      </c>
      <c r="D12" s="25">
        <f t="shared" ref="D12:Q12" si="9">IF(OR(D3=1,$A$12=1),1,$A$12/D3)</f>
        <v>1</v>
      </c>
      <c r="E12" s="25">
        <f t="shared" si="9"/>
        <v>1</v>
      </c>
      <c r="F12" s="25">
        <f t="shared" si="9"/>
        <v>1</v>
      </c>
      <c r="G12" s="25">
        <f t="shared" si="9"/>
        <v>1</v>
      </c>
      <c r="H12" s="25">
        <f t="shared" si="9"/>
        <v>1</v>
      </c>
      <c r="I12" s="25">
        <f t="shared" si="9"/>
        <v>1</v>
      </c>
      <c r="J12" s="25">
        <f t="shared" si="9"/>
        <v>1</v>
      </c>
      <c r="K12" s="25">
        <f t="shared" si="9"/>
        <v>1</v>
      </c>
      <c r="L12" s="25">
        <f t="shared" si="9"/>
        <v>1</v>
      </c>
      <c r="M12" s="25">
        <f t="shared" si="9"/>
        <v>1</v>
      </c>
      <c r="N12" s="25">
        <f t="shared" si="9"/>
        <v>1</v>
      </c>
      <c r="O12" s="25">
        <f t="shared" si="9"/>
        <v>1</v>
      </c>
      <c r="P12" s="25">
        <f t="shared" si="9"/>
        <v>1</v>
      </c>
      <c r="Q12" s="25">
        <f t="shared" si="9"/>
        <v>1</v>
      </c>
      <c r="R12" s="8">
        <f>IF(A12=1,0,(C12*D12*E12*F12*G12*H12*I12*J12*K12*L12*M12*N12*O12*P12*Q12)^(1/'Kriteria&amp;Bobot'!$E$3))</f>
        <v>0</v>
      </c>
      <c r="S12" s="21" t="e">
        <f t="shared" si="2"/>
        <v>#DIV/0!</v>
      </c>
      <c r="T12" s="8">
        <f t="shared" si="3"/>
        <v>0</v>
      </c>
    </row>
    <row r="13" spans="1:20" x14ac:dyDescent="0.35">
      <c r="A13" s="19">
        <f>'Kriteria&amp;Bobot'!E14</f>
        <v>1</v>
      </c>
      <c r="B13" s="10">
        <f>'Kriteria&amp;Bobot'!D14</f>
        <v>0</v>
      </c>
      <c r="C13" s="25">
        <f>IF(OR(C3=1,$A$13=1),1,$A$13/C3)</f>
        <v>1</v>
      </c>
      <c r="D13" s="25">
        <f t="shared" ref="D13:Q13" si="10">IF(OR(D3=1,$A$13=1),1,$A$13/D3)</f>
        <v>1</v>
      </c>
      <c r="E13" s="25">
        <f t="shared" si="10"/>
        <v>1</v>
      </c>
      <c r="F13" s="25">
        <f t="shared" si="10"/>
        <v>1</v>
      </c>
      <c r="G13" s="25">
        <f t="shared" si="10"/>
        <v>1</v>
      </c>
      <c r="H13" s="25">
        <f t="shared" si="10"/>
        <v>1</v>
      </c>
      <c r="I13" s="25">
        <f t="shared" si="10"/>
        <v>1</v>
      </c>
      <c r="J13" s="25">
        <f t="shared" si="10"/>
        <v>1</v>
      </c>
      <c r="K13" s="25">
        <f t="shared" si="10"/>
        <v>1</v>
      </c>
      <c r="L13" s="25">
        <f t="shared" si="10"/>
        <v>1</v>
      </c>
      <c r="M13" s="25">
        <f t="shared" si="10"/>
        <v>1</v>
      </c>
      <c r="N13" s="25">
        <f t="shared" si="10"/>
        <v>1</v>
      </c>
      <c r="O13" s="25">
        <f t="shared" si="10"/>
        <v>1</v>
      </c>
      <c r="P13" s="25">
        <f t="shared" si="10"/>
        <v>1</v>
      </c>
      <c r="Q13" s="25">
        <f t="shared" si="10"/>
        <v>1</v>
      </c>
      <c r="R13" s="8">
        <f>IF(A13=1,0,(C13*D13*E13*F13*G13*H13*I13*J13*K13*L13*M13*N13*O13*P13*Q13)^(1/'Kriteria&amp;Bobot'!$E$3))</f>
        <v>0</v>
      </c>
      <c r="S13" s="21" t="e">
        <f t="shared" si="2"/>
        <v>#DIV/0!</v>
      </c>
      <c r="T13" s="8">
        <f t="shared" si="3"/>
        <v>0</v>
      </c>
    </row>
    <row r="14" spans="1:20" x14ac:dyDescent="0.35">
      <c r="A14" s="19">
        <f>'Kriteria&amp;Bobot'!E15</f>
        <v>1</v>
      </c>
      <c r="B14" s="10">
        <f>'Kriteria&amp;Bobot'!D15</f>
        <v>0</v>
      </c>
      <c r="C14" s="25">
        <f>IF(OR(C3=1,$A$14=1),1,$A$14/C3)</f>
        <v>1</v>
      </c>
      <c r="D14" s="25">
        <f t="shared" ref="D14:Q14" si="11">IF(OR(D3=1,$A$14=1),1,$A$14/D3)</f>
        <v>1</v>
      </c>
      <c r="E14" s="25">
        <f t="shared" si="11"/>
        <v>1</v>
      </c>
      <c r="F14" s="25">
        <f t="shared" si="11"/>
        <v>1</v>
      </c>
      <c r="G14" s="25">
        <f t="shared" si="11"/>
        <v>1</v>
      </c>
      <c r="H14" s="25">
        <f t="shared" si="11"/>
        <v>1</v>
      </c>
      <c r="I14" s="25">
        <f t="shared" si="11"/>
        <v>1</v>
      </c>
      <c r="J14" s="25">
        <f t="shared" si="11"/>
        <v>1</v>
      </c>
      <c r="K14" s="25">
        <f t="shared" si="11"/>
        <v>1</v>
      </c>
      <c r="L14" s="25">
        <f t="shared" si="11"/>
        <v>1</v>
      </c>
      <c r="M14" s="25">
        <f t="shared" si="11"/>
        <v>1</v>
      </c>
      <c r="N14" s="25">
        <f t="shared" si="11"/>
        <v>1</v>
      </c>
      <c r="O14" s="25">
        <f t="shared" si="11"/>
        <v>1</v>
      </c>
      <c r="P14" s="25">
        <f t="shared" si="11"/>
        <v>1</v>
      </c>
      <c r="Q14" s="25">
        <f t="shared" si="11"/>
        <v>1</v>
      </c>
      <c r="R14" s="8">
        <f>IF(A14=1,0,(C14*D14*E14*F14*G14*H14*I14*J14*K14*L14*M14*N14*O14*P14*Q14)^(1/'Kriteria&amp;Bobot'!$E$3))</f>
        <v>0</v>
      </c>
      <c r="S14" s="21" t="e">
        <f t="shared" si="2"/>
        <v>#DIV/0!</v>
      </c>
      <c r="T14" s="8">
        <f t="shared" si="3"/>
        <v>0</v>
      </c>
    </row>
    <row r="15" spans="1:20" x14ac:dyDescent="0.35">
      <c r="A15" s="19">
        <f>'Kriteria&amp;Bobot'!E16</f>
        <v>1</v>
      </c>
      <c r="B15" s="10">
        <f>'Kriteria&amp;Bobot'!D16</f>
        <v>0</v>
      </c>
      <c r="C15" s="25">
        <f>IF(OR(C3=1,$A$15=1),1,$A$15/C3)</f>
        <v>1</v>
      </c>
      <c r="D15" s="25">
        <f t="shared" ref="D15:Q15" si="12">IF(OR(D3=1,$A$15=1),1,$A$15/D3)</f>
        <v>1</v>
      </c>
      <c r="E15" s="25">
        <f t="shared" si="12"/>
        <v>1</v>
      </c>
      <c r="F15" s="25">
        <f t="shared" si="12"/>
        <v>1</v>
      </c>
      <c r="G15" s="25">
        <f t="shared" si="12"/>
        <v>1</v>
      </c>
      <c r="H15" s="25">
        <f t="shared" si="12"/>
        <v>1</v>
      </c>
      <c r="I15" s="25">
        <f t="shared" si="12"/>
        <v>1</v>
      </c>
      <c r="J15" s="25">
        <f t="shared" si="12"/>
        <v>1</v>
      </c>
      <c r="K15" s="25">
        <f t="shared" si="12"/>
        <v>1</v>
      </c>
      <c r="L15" s="25">
        <f t="shared" si="12"/>
        <v>1</v>
      </c>
      <c r="M15" s="25">
        <f t="shared" si="12"/>
        <v>1</v>
      </c>
      <c r="N15" s="25">
        <f t="shared" si="12"/>
        <v>1</v>
      </c>
      <c r="O15" s="25">
        <f t="shared" si="12"/>
        <v>1</v>
      </c>
      <c r="P15" s="25">
        <f t="shared" si="12"/>
        <v>1</v>
      </c>
      <c r="Q15" s="25">
        <f t="shared" si="12"/>
        <v>1</v>
      </c>
      <c r="R15" s="8">
        <f>IF(A15=1,0,(C15*D15*E15*F15*G15*H15*I15*J15*K15*L15*M15*N15*O15*P15*Q15)^(1/'Kriteria&amp;Bobot'!$E$3))</f>
        <v>0</v>
      </c>
      <c r="S15" s="21" t="e">
        <f t="shared" si="2"/>
        <v>#DIV/0!</v>
      </c>
      <c r="T15" s="8">
        <f t="shared" si="3"/>
        <v>0</v>
      </c>
    </row>
    <row r="16" spans="1:20" x14ac:dyDescent="0.35">
      <c r="A16" s="19">
        <f>'Kriteria&amp;Bobot'!E17</f>
        <v>1</v>
      </c>
      <c r="B16" s="10">
        <f>'Kriteria&amp;Bobot'!D17</f>
        <v>0</v>
      </c>
      <c r="C16" s="25">
        <f>IF(OR(C3=1,$A$16=1),1,$A$16/C3)</f>
        <v>1</v>
      </c>
      <c r="D16" s="25">
        <f t="shared" ref="D16:Q16" si="13">IF(OR(D3=1,$A$16=1),1,$A$16/D3)</f>
        <v>1</v>
      </c>
      <c r="E16" s="25">
        <f t="shared" si="13"/>
        <v>1</v>
      </c>
      <c r="F16" s="25">
        <f t="shared" si="13"/>
        <v>1</v>
      </c>
      <c r="G16" s="25">
        <f t="shared" si="13"/>
        <v>1</v>
      </c>
      <c r="H16" s="25">
        <f t="shared" si="13"/>
        <v>1</v>
      </c>
      <c r="I16" s="25">
        <f t="shared" si="13"/>
        <v>1</v>
      </c>
      <c r="J16" s="25">
        <f t="shared" si="13"/>
        <v>1</v>
      </c>
      <c r="K16" s="25">
        <f t="shared" si="13"/>
        <v>1</v>
      </c>
      <c r="L16" s="25">
        <f t="shared" si="13"/>
        <v>1</v>
      </c>
      <c r="M16" s="25">
        <f t="shared" si="13"/>
        <v>1</v>
      </c>
      <c r="N16" s="25">
        <f t="shared" si="13"/>
        <v>1</v>
      </c>
      <c r="O16" s="25">
        <f t="shared" si="13"/>
        <v>1</v>
      </c>
      <c r="P16" s="25">
        <f t="shared" si="13"/>
        <v>1</v>
      </c>
      <c r="Q16" s="25">
        <f t="shared" si="13"/>
        <v>1</v>
      </c>
      <c r="R16" s="8">
        <f>IF(A16=1,0,(C16*D16*E16*F16*G16*H16*I16*J16*K16*L16*M16*N16*O16*P16*Q16)^(1/'Kriteria&amp;Bobot'!$E$3))</f>
        <v>0</v>
      </c>
      <c r="S16" s="21" t="e">
        <f t="shared" si="2"/>
        <v>#DIV/0!</v>
      </c>
      <c r="T16" s="8">
        <f t="shared" si="3"/>
        <v>0</v>
      </c>
    </row>
    <row r="17" spans="1:20" x14ac:dyDescent="0.35">
      <c r="A17" s="19">
        <f>'Kriteria&amp;Bobot'!E18</f>
        <v>1</v>
      </c>
      <c r="B17" s="10">
        <f>'Kriteria&amp;Bobot'!D18</f>
        <v>0</v>
      </c>
      <c r="C17" s="25">
        <f>IF(OR(C3=1,$A$17=1),1,$A$17/C3)</f>
        <v>1</v>
      </c>
      <c r="D17" s="25">
        <f t="shared" ref="D17:Q17" si="14">IF(OR(D3=1,$A$17=1),1,$A$17/D3)</f>
        <v>1</v>
      </c>
      <c r="E17" s="25">
        <f t="shared" si="14"/>
        <v>1</v>
      </c>
      <c r="F17" s="25">
        <f t="shared" si="14"/>
        <v>1</v>
      </c>
      <c r="G17" s="25">
        <f t="shared" si="14"/>
        <v>1</v>
      </c>
      <c r="H17" s="25">
        <f t="shared" si="14"/>
        <v>1</v>
      </c>
      <c r="I17" s="25">
        <f t="shared" si="14"/>
        <v>1</v>
      </c>
      <c r="J17" s="25">
        <f t="shared" si="14"/>
        <v>1</v>
      </c>
      <c r="K17" s="25">
        <f t="shared" si="14"/>
        <v>1</v>
      </c>
      <c r="L17" s="25">
        <f t="shared" si="14"/>
        <v>1</v>
      </c>
      <c r="M17" s="25">
        <f t="shared" si="14"/>
        <v>1</v>
      </c>
      <c r="N17" s="25">
        <f t="shared" si="14"/>
        <v>1</v>
      </c>
      <c r="O17" s="25">
        <f t="shared" si="14"/>
        <v>1</v>
      </c>
      <c r="P17" s="25">
        <f t="shared" si="14"/>
        <v>1</v>
      </c>
      <c r="Q17" s="25">
        <f t="shared" si="14"/>
        <v>1</v>
      </c>
      <c r="R17" s="8">
        <f>IF(A17=1,0,(C17*D17*E17*F17*G17*H17*I17*J17*K17*L17*M17*N17*O17*P17*Q17)^(1/'Kriteria&amp;Bobot'!$E$3))</f>
        <v>0</v>
      </c>
      <c r="S17" s="21" t="e">
        <f t="shared" si="2"/>
        <v>#DIV/0!</v>
      </c>
      <c r="T17" s="8">
        <f t="shared" si="3"/>
        <v>0</v>
      </c>
    </row>
    <row r="18" spans="1:20" x14ac:dyDescent="0.35">
      <c r="A18" s="19">
        <f>'Kriteria&amp;Bobot'!E19</f>
        <v>1</v>
      </c>
      <c r="B18" s="10">
        <f>'Kriteria&amp;Bobot'!D19</f>
        <v>0</v>
      </c>
      <c r="C18" s="25">
        <f>IF(OR(C3=1,$A$18=1),1,$A$18/C3)</f>
        <v>1</v>
      </c>
      <c r="D18" s="25">
        <f t="shared" ref="D18:Q18" si="15">IF(OR(D3=1,$A$18=1),1,$A$18/D3)</f>
        <v>1</v>
      </c>
      <c r="E18" s="25">
        <f t="shared" si="15"/>
        <v>1</v>
      </c>
      <c r="F18" s="25">
        <f t="shared" si="15"/>
        <v>1</v>
      </c>
      <c r="G18" s="25">
        <f t="shared" si="15"/>
        <v>1</v>
      </c>
      <c r="H18" s="25">
        <f t="shared" si="15"/>
        <v>1</v>
      </c>
      <c r="I18" s="25">
        <f t="shared" si="15"/>
        <v>1</v>
      </c>
      <c r="J18" s="25">
        <f t="shared" si="15"/>
        <v>1</v>
      </c>
      <c r="K18" s="25">
        <f t="shared" si="15"/>
        <v>1</v>
      </c>
      <c r="L18" s="25">
        <f t="shared" si="15"/>
        <v>1</v>
      </c>
      <c r="M18" s="25">
        <f t="shared" si="15"/>
        <v>1</v>
      </c>
      <c r="N18" s="25">
        <f t="shared" si="15"/>
        <v>1</v>
      </c>
      <c r="O18" s="25">
        <f t="shared" si="15"/>
        <v>1</v>
      </c>
      <c r="P18" s="25">
        <f t="shared" si="15"/>
        <v>1</v>
      </c>
      <c r="Q18" s="25">
        <f t="shared" si="15"/>
        <v>1</v>
      </c>
      <c r="R18" s="8">
        <f>IF(A18=1,0,(C18*D18*E18*F18*G18*H18*I18*J18*K18*L18*M18*N18*O18*P18*Q18)^(1/'Kriteria&amp;Bobot'!$E$3))</f>
        <v>0</v>
      </c>
      <c r="S18" s="21" t="e">
        <f t="shared" si="2"/>
        <v>#DIV/0!</v>
      </c>
      <c r="T18" s="8">
        <f t="shared" si="3"/>
        <v>0</v>
      </c>
    </row>
    <row r="19" spans="1:20" x14ac:dyDescent="0.35">
      <c r="A19" s="19">
        <f>'Kriteria&amp;Bobot'!E20</f>
        <v>1</v>
      </c>
      <c r="B19" s="10">
        <f>'Kriteria&amp;Bobot'!D20</f>
        <v>0</v>
      </c>
      <c r="C19" s="25">
        <f>IF(OR(C3=1,$A$19=1),1,$A$19/C3)</f>
        <v>1</v>
      </c>
      <c r="D19" s="25">
        <f t="shared" ref="D19:Q19" si="16">IF(OR(D3=1,$A$19=1),1,$A$19/D3)</f>
        <v>1</v>
      </c>
      <c r="E19" s="25">
        <f t="shared" si="16"/>
        <v>1</v>
      </c>
      <c r="F19" s="25">
        <f t="shared" si="16"/>
        <v>1</v>
      </c>
      <c r="G19" s="25">
        <f t="shared" si="16"/>
        <v>1</v>
      </c>
      <c r="H19" s="25">
        <f t="shared" si="16"/>
        <v>1</v>
      </c>
      <c r="I19" s="25">
        <f t="shared" si="16"/>
        <v>1</v>
      </c>
      <c r="J19" s="25">
        <f t="shared" si="16"/>
        <v>1</v>
      </c>
      <c r="K19" s="25">
        <f t="shared" si="16"/>
        <v>1</v>
      </c>
      <c r="L19" s="25">
        <f t="shared" si="16"/>
        <v>1</v>
      </c>
      <c r="M19" s="25">
        <f t="shared" si="16"/>
        <v>1</v>
      </c>
      <c r="N19" s="25">
        <f t="shared" si="16"/>
        <v>1</v>
      </c>
      <c r="O19" s="25">
        <f t="shared" si="16"/>
        <v>1</v>
      </c>
      <c r="P19" s="25">
        <f t="shared" si="16"/>
        <v>1</v>
      </c>
      <c r="Q19" s="25">
        <f t="shared" si="16"/>
        <v>1</v>
      </c>
      <c r="R19" s="8">
        <f>IF(A19=1,0,(C19*D19*E19*F19*G19*H19*I19*J19*K19*L19*M19*N19*O19*P19*Q19)^(1/'Kriteria&amp;Bobot'!$E$3))</f>
        <v>0</v>
      </c>
      <c r="S19" s="21" t="e">
        <f t="shared" si="2"/>
        <v>#DIV/0!</v>
      </c>
      <c r="T19" s="8">
        <f t="shared" si="3"/>
        <v>0</v>
      </c>
    </row>
    <row r="20" spans="1:20" x14ac:dyDescent="0.35">
      <c r="R20" s="8">
        <f>SUM(R5:R19)</f>
        <v>0</v>
      </c>
      <c r="S20" s="8" t="e">
        <f>SUM(S5:S19)</f>
        <v>#DIV/0!</v>
      </c>
      <c r="T20" s="12">
        <f>MAX(T5:T19)</f>
        <v>0</v>
      </c>
    </row>
    <row r="22" spans="1:20" x14ac:dyDescent="0.35">
      <c r="S22" s="5" t="s">
        <v>37</v>
      </c>
      <c r="T22" s="12">
        <f>T20</f>
        <v>0</v>
      </c>
    </row>
    <row r="23" spans="1:20" x14ac:dyDescent="0.35">
      <c r="B23" s="4" t="s">
        <v>38</v>
      </c>
      <c r="C23" s="4"/>
      <c r="D23" s="4"/>
      <c r="E23" s="76">
        <f>'Kriteria&amp;Bobot'!E3</f>
        <v>0</v>
      </c>
      <c r="F23" s="77" t="s">
        <v>12</v>
      </c>
      <c r="S23" s="6" t="s">
        <v>39</v>
      </c>
      <c r="T23" s="3">
        <f>(T22-E23)/(E23-1)</f>
        <v>0</v>
      </c>
    </row>
    <row r="24" spans="1:20" x14ac:dyDescent="0.35">
      <c r="S24" s="6" t="s">
        <v>40</v>
      </c>
      <c r="T24" s="1" t="b">
        <f>IF(E23=E25,E26,IF(E23=F25,F26,IF(E23=G25,G26,IF(E23=H25,H26,IF(E23=I25,I26,IF(E23=J25,J26,IF(E23=K25,K26,IF(E23=L25,L26,IF(E23=M25,M26,IF(E23=N25,N26,IF(E23=O25,O26,IF(E23=P25,P26,IF(E23=Q25,Q26)))))))))))))</f>
        <v>0</v>
      </c>
    </row>
    <row r="25" spans="1:20" x14ac:dyDescent="0.35">
      <c r="B25" s="2" t="s">
        <v>41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S25" s="6" t="s">
        <v>42</v>
      </c>
      <c r="T25" s="12" t="e">
        <f>T23/T24</f>
        <v>#DIV/0!</v>
      </c>
    </row>
    <row r="26" spans="1:20" x14ac:dyDescent="0.35">
      <c r="B26" s="2" t="s">
        <v>40</v>
      </c>
      <c r="C26" s="87">
        <v>0</v>
      </c>
      <c r="D26" s="87">
        <v>0</v>
      </c>
      <c r="E26" s="87">
        <v>0.57999999999999996</v>
      </c>
      <c r="F26" s="87">
        <v>0.9</v>
      </c>
      <c r="G26" s="87">
        <v>1.1200000000000001</v>
      </c>
      <c r="H26" s="87">
        <v>1.24</v>
      </c>
      <c r="I26" s="87">
        <v>1.32</v>
      </c>
      <c r="J26" s="87">
        <v>1.41</v>
      </c>
      <c r="K26" s="87">
        <v>1.45</v>
      </c>
      <c r="L26" s="87">
        <v>1.49</v>
      </c>
      <c r="M26" s="87">
        <v>1.51</v>
      </c>
      <c r="N26" s="87">
        <v>1.54</v>
      </c>
      <c r="O26" s="87">
        <v>1.56</v>
      </c>
      <c r="P26" s="87">
        <v>1.57</v>
      </c>
      <c r="Q26" s="87">
        <v>1.58</v>
      </c>
    </row>
    <row r="27" spans="1:20" x14ac:dyDescent="0.35">
      <c r="S27" s="6" t="s">
        <v>43</v>
      </c>
      <c r="T27" s="1" t="s">
        <v>44</v>
      </c>
    </row>
  </sheetData>
  <sheetProtection selectLockedCells="1"/>
  <conditionalFormatting sqref="A5:A19">
    <cfRule type="cellIs" dxfId="38" priority="4" operator="equal">
      <formula>1</formula>
    </cfRule>
  </conditionalFormatting>
  <conditionalFormatting sqref="B5:B19">
    <cfRule type="cellIs" dxfId="37" priority="2" operator="equal">
      <formula>0</formula>
    </cfRule>
  </conditionalFormatting>
  <conditionalFormatting sqref="C3:Q3">
    <cfRule type="cellIs" dxfId="36" priority="3" operator="equal">
      <formula>1</formula>
    </cfRule>
  </conditionalFormatting>
  <conditionalFormatting sqref="C4:Q4">
    <cfRule type="cellIs" dxfId="35" priority="1" operator="equal">
      <formula>0</formula>
    </cfRule>
  </conditionalFormatting>
  <conditionalFormatting sqref="C5:Q19">
    <cfRule type="cellIs" dxfId="34" priority="6" operator="equal">
      <formula>1</formula>
    </cfRule>
  </conditionalFormatting>
  <conditionalFormatting sqref="R5:T19">
    <cfRule type="cellIs" dxfId="33" priority="5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A14B-5619-4E9F-AD1E-436DA0020886}">
  <sheetPr codeName="Sheet6"/>
  <dimension ref="A1:T406"/>
  <sheetViews>
    <sheetView workbookViewId="0"/>
  </sheetViews>
  <sheetFormatPr defaultRowHeight="14.5" x14ac:dyDescent="0.35"/>
  <cols>
    <col min="18" max="18" width="9.54296875" customWidth="1"/>
    <col min="19" max="20" width="11.7265625" customWidth="1"/>
  </cols>
  <sheetData>
    <row r="1" spans="1:20" x14ac:dyDescent="0.35">
      <c r="H1" s="126" t="s">
        <v>45</v>
      </c>
      <c r="I1" s="126"/>
      <c r="J1" s="126"/>
      <c r="K1" s="126"/>
      <c r="L1" s="126"/>
      <c r="M1" s="126"/>
      <c r="N1" s="126"/>
    </row>
    <row r="2" spans="1:20" x14ac:dyDescent="0.35">
      <c r="A2" s="46" t="s">
        <v>46</v>
      </c>
      <c r="B2" s="88">
        <f>'Data Kriteria'!C5</f>
        <v>0</v>
      </c>
    </row>
    <row r="3" spans="1:20" x14ac:dyDescent="0.35">
      <c r="C3" s="44" cm="1">
        <f t="array" ref="C3:Q3">TRANSPOSE(A5:A19)</f>
        <v>1</v>
      </c>
      <c r="D3" s="44">
        <v>1</v>
      </c>
      <c r="E3" s="44">
        <v>1</v>
      </c>
      <c r="F3" s="44">
        <v>1</v>
      </c>
      <c r="G3" s="44">
        <v>1</v>
      </c>
      <c r="H3" s="44">
        <v>1</v>
      </c>
      <c r="I3" s="44">
        <v>1</v>
      </c>
      <c r="J3" s="44">
        <v>1</v>
      </c>
      <c r="K3" s="44">
        <v>1</v>
      </c>
      <c r="L3" s="44">
        <v>1</v>
      </c>
      <c r="M3" s="44">
        <v>1</v>
      </c>
      <c r="N3" s="44">
        <v>1</v>
      </c>
      <c r="O3" s="44">
        <v>1</v>
      </c>
      <c r="P3" s="44">
        <v>1</v>
      </c>
      <c r="Q3" s="44">
        <v>1</v>
      </c>
    </row>
    <row r="4" spans="1:20" x14ac:dyDescent="0.35">
      <c r="B4" s="82">
        <v>1</v>
      </c>
      <c r="C4" s="30" cm="1">
        <f t="array" ref="C4:Q4">TRANSPOSE(B5:B19)</f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43">
        <v>0</v>
      </c>
      <c r="R4" s="45" t="s">
        <v>47</v>
      </c>
      <c r="S4" s="45" t="s">
        <v>35</v>
      </c>
      <c r="T4" s="45" t="s">
        <v>48</v>
      </c>
    </row>
    <row r="5" spans="1:20" x14ac:dyDescent="0.35">
      <c r="A5" s="44">
        <f>'Data Kriteria'!C6</f>
        <v>1</v>
      </c>
      <c r="B5" s="30">
        <f>'Data Kriteria'!B6</f>
        <v>0</v>
      </c>
      <c r="C5" s="41">
        <f>IF(OR(C3=1,$A$5=1),1,$A$5/C3)</f>
        <v>1</v>
      </c>
      <c r="D5" s="41">
        <f t="shared" ref="D5:Q5" si="0">IF(OR(D3=1,$A$5=1),1,$A$5/D3)</f>
        <v>1</v>
      </c>
      <c r="E5" s="41">
        <f t="shared" si="0"/>
        <v>1</v>
      </c>
      <c r="F5" s="41">
        <f t="shared" si="0"/>
        <v>1</v>
      </c>
      <c r="G5" s="41">
        <f t="shared" si="0"/>
        <v>1</v>
      </c>
      <c r="H5" s="41">
        <f t="shared" si="0"/>
        <v>1</v>
      </c>
      <c r="I5" s="41">
        <f t="shared" si="0"/>
        <v>1</v>
      </c>
      <c r="J5" s="41">
        <f t="shared" si="0"/>
        <v>1</v>
      </c>
      <c r="K5" s="41">
        <f t="shared" si="0"/>
        <v>1</v>
      </c>
      <c r="L5" s="41">
        <f t="shared" si="0"/>
        <v>1</v>
      </c>
      <c r="M5" s="41">
        <f t="shared" si="0"/>
        <v>1</v>
      </c>
      <c r="N5" s="41">
        <f t="shared" si="0"/>
        <v>1</v>
      </c>
      <c r="O5" s="41">
        <f t="shared" si="0"/>
        <v>1</v>
      </c>
      <c r="P5" s="41">
        <f t="shared" si="0"/>
        <v>1</v>
      </c>
      <c r="Q5" s="41">
        <f t="shared" si="0"/>
        <v>1</v>
      </c>
      <c r="R5" s="14">
        <f>IF(A5=1,0,(C5*D5*E5*F5*G5*H5*I5*J5*K5*L5*M5*N5*O5*P5*Q5)^(1/$E$23))</f>
        <v>0</v>
      </c>
      <c r="S5" s="15">
        <f>IF(C4=0,0,R5/$R$20)</f>
        <v>0</v>
      </c>
      <c r="T5" s="14">
        <f t="shared" ref="T5:T9" si="1">IF(A5=1,0,(C5*$S$5+D5*$S$6+E5*$S$7+F5*$S$8+G5*$S$9+H5*$S$10+I5*$S$11+J5*$S$12+K5*$S$13+L5*$S$14+M5*$S$15+N5*$S$16+O5*$S$17+P5*$S$18+Q5*$S$19)/S5)</f>
        <v>0</v>
      </c>
    </row>
    <row r="6" spans="1:20" x14ac:dyDescent="0.35">
      <c r="A6" s="44">
        <f>'Data Kriteria'!C7</f>
        <v>1</v>
      </c>
      <c r="B6" s="30">
        <f>'Data Kriteria'!B7</f>
        <v>0</v>
      </c>
      <c r="C6" s="41">
        <f>IF(OR(C3=1,$A$6=1),1,$A$6/C3)</f>
        <v>1</v>
      </c>
      <c r="D6" s="41">
        <f t="shared" ref="D6:Q6" si="2">IF(OR(D3=1,$A$6=1),1,$A$6/D3)</f>
        <v>1</v>
      </c>
      <c r="E6" s="41">
        <f t="shared" si="2"/>
        <v>1</v>
      </c>
      <c r="F6" s="41">
        <f t="shared" si="2"/>
        <v>1</v>
      </c>
      <c r="G6" s="41">
        <f t="shared" si="2"/>
        <v>1</v>
      </c>
      <c r="H6" s="41">
        <f t="shared" si="2"/>
        <v>1</v>
      </c>
      <c r="I6" s="41">
        <f t="shared" si="2"/>
        <v>1</v>
      </c>
      <c r="J6" s="41">
        <f t="shared" si="2"/>
        <v>1</v>
      </c>
      <c r="K6" s="41">
        <f t="shared" si="2"/>
        <v>1</v>
      </c>
      <c r="L6" s="41">
        <f t="shared" si="2"/>
        <v>1</v>
      </c>
      <c r="M6" s="41">
        <f t="shared" si="2"/>
        <v>1</v>
      </c>
      <c r="N6" s="41">
        <f t="shared" si="2"/>
        <v>1</v>
      </c>
      <c r="O6" s="41">
        <f t="shared" si="2"/>
        <v>1</v>
      </c>
      <c r="P6" s="41">
        <f t="shared" si="2"/>
        <v>1</v>
      </c>
      <c r="Q6" s="41">
        <f t="shared" si="2"/>
        <v>1</v>
      </c>
      <c r="R6" s="14">
        <f>IF(A6=1,0,(C6*D6*E6*F6*G6*H6*I6*J6*K6*L6*M6*N6*O6*P6*Q6)^(1/$E$23))</f>
        <v>0</v>
      </c>
      <c r="S6" s="15">
        <f>IF(D4=0,0,R6/$R$20)</f>
        <v>0</v>
      </c>
      <c r="T6" s="14">
        <f t="shared" si="1"/>
        <v>0</v>
      </c>
    </row>
    <row r="7" spans="1:20" x14ac:dyDescent="0.35">
      <c r="A7" s="44">
        <f>'Data Kriteria'!C8</f>
        <v>1</v>
      </c>
      <c r="B7" s="30">
        <f>'Data Kriteria'!B8</f>
        <v>0</v>
      </c>
      <c r="C7" s="41">
        <f>IF(OR(C3=1,$A$7=1),1,$A$7/C3)</f>
        <v>1</v>
      </c>
      <c r="D7" s="41">
        <f t="shared" ref="D7:Q7" si="3">IF(OR(D3=1,$A$7=1),1,$A$7/D3)</f>
        <v>1</v>
      </c>
      <c r="E7" s="41">
        <f t="shared" si="3"/>
        <v>1</v>
      </c>
      <c r="F7" s="41">
        <f t="shared" si="3"/>
        <v>1</v>
      </c>
      <c r="G7" s="41">
        <f t="shared" si="3"/>
        <v>1</v>
      </c>
      <c r="H7" s="41">
        <f t="shared" si="3"/>
        <v>1</v>
      </c>
      <c r="I7" s="41">
        <f t="shared" si="3"/>
        <v>1</v>
      </c>
      <c r="J7" s="41">
        <f t="shared" si="3"/>
        <v>1</v>
      </c>
      <c r="K7" s="41">
        <f t="shared" si="3"/>
        <v>1</v>
      </c>
      <c r="L7" s="41">
        <f t="shared" si="3"/>
        <v>1</v>
      </c>
      <c r="M7" s="41">
        <f t="shared" si="3"/>
        <v>1</v>
      </c>
      <c r="N7" s="41">
        <f t="shared" si="3"/>
        <v>1</v>
      </c>
      <c r="O7" s="41">
        <f t="shared" si="3"/>
        <v>1</v>
      </c>
      <c r="P7" s="41">
        <f t="shared" si="3"/>
        <v>1</v>
      </c>
      <c r="Q7" s="41">
        <f t="shared" si="3"/>
        <v>1</v>
      </c>
      <c r="R7" s="14">
        <f t="shared" ref="R7:R19" si="4">IF(A7=1,0,(C7*D7*E7*F7*G7*H7*I7*J7*K7*L7*M7*N7*O7*P7*Q7)^(1/$E$23))</f>
        <v>0</v>
      </c>
      <c r="S7" s="15">
        <f>IF(E4=0,0,R7/$R$20)</f>
        <v>0</v>
      </c>
      <c r="T7" s="14">
        <f t="shared" si="1"/>
        <v>0</v>
      </c>
    </row>
    <row r="8" spans="1:20" x14ac:dyDescent="0.35">
      <c r="A8" s="44">
        <f>'Data Kriteria'!C9</f>
        <v>1</v>
      </c>
      <c r="B8" s="30">
        <f>'Data Kriteria'!B9</f>
        <v>0</v>
      </c>
      <c r="C8" s="41">
        <f>IF(OR(C3=1,$A$8=1),1,$A$8/C3)</f>
        <v>1</v>
      </c>
      <c r="D8" s="41">
        <f t="shared" ref="D8:Q8" si="5">IF(OR(D3=1,$A$8=1),1,$A$8/D3)</f>
        <v>1</v>
      </c>
      <c r="E8" s="41">
        <f t="shared" si="5"/>
        <v>1</v>
      </c>
      <c r="F8" s="41">
        <f t="shared" si="5"/>
        <v>1</v>
      </c>
      <c r="G8" s="41">
        <f t="shared" si="5"/>
        <v>1</v>
      </c>
      <c r="H8" s="41">
        <f t="shared" si="5"/>
        <v>1</v>
      </c>
      <c r="I8" s="41">
        <f t="shared" si="5"/>
        <v>1</v>
      </c>
      <c r="J8" s="41">
        <f t="shared" si="5"/>
        <v>1</v>
      </c>
      <c r="K8" s="41">
        <f t="shared" si="5"/>
        <v>1</v>
      </c>
      <c r="L8" s="41">
        <f t="shared" si="5"/>
        <v>1</v>
      </c>
      <c r="M8" s="41">
        <f t="shared" si="5"/>
        <v>1</v>
      </c>
      <c r="N8" s="41">
        <f t="shared" si="5"/>
        <v>1</v>
      </c>
      <c r="O8" s="41">
        <f t="shared" si="5"/>
        <v>1</v>
      </c>
      <c r="P8" s="41">
        <f t="shared" si="5"/>
        <v>1</v>
      </c>
      <c r="Q8" s="41">
        <f t="shared" si="5"/>
        <v>1</v>
      </c>
      <c r="R8" s="14">
        <f t="shared" si="4"/>
        <v>0</v>
      </c>
      <c r="S8" s="15">
        <f>IF(F4=0,0,R8/$R$20)</f>
        <v>0</v>
      </c>
      <c r="T8" s="14">
        <f t="shared" si="1"/>
        <v>0</v>
      </c>
    </row>
    <row r="9" spans="1:20" x14ac:dyDescent="0.35">
      <c r="A9" s="44">
        <f>'Data Kriteria'!C10</f>
        <v>1</v>
      </c>
      <c r="B9" s="30">
        <f>'Data Kriteria'!B10</f>
        <v>0</v>
      </c>
      <c r="C9" s="41">
        <f>IF(OR(C3=1,$A$9=1),1,$A$9/C3)</f>
        <v>1</v>
      </c>
      <c r="D9" s="41">
        <f t="shared" ref="D9:Q9" si="6">IF(OR(D3=1,$A$9=1),1,$A$9/D3)</f>
        <v>1</v>
      </c>
      <c r="E9" s="41">
        <f t="shared" si="6"/>
        <v>1</v>
      </c>
      <c r="F9" s="41">
        <f t="shared" si="6"/>
        <v>1</v>
      </c>
      <c r="G9" s="41">
        <f t="shared" si="6"/>
        <v>1</v>
      </c>
      <c r="H9" s="41">
        <f t="shared" si="6"/>
        <v>1</v>
      </c>
      <c r="I9" s="41">
        <f t="shared" si="6"/>
        <v>1</v>
      </c>
      <c r="J9" s="41">
        <f t="shared" si="6"/>
        <v>1</v>
      </c>
      <c r="K9" s="41">
        <f t="shared" si="6"/>
        <v>1</v>
      </c>
      <c r="L9" s="41">
        <f t="shared" si="6"/>
        <v>1</v>
      </c>
      <c r="M9" s="41">
        <f t="shared" si="6"/>
        <v>1</v>
      </c>
      <c r="N9" s="41">
        <f t="shared" si="6"/>
        <v>1</v>
      </c>
      <c r="O9" s="41">
        <f t="shared" si="6"/>
        <v>1</v>
      </c>
      <c r="P9" s="41">
        <f t="shared" si="6"/>
        <v>1</v>
      </c>
      <c r="Q9" s="41">
        <f t="shared" si="6"/>
        <v>1</v>
      </c>
      <c r="R9" s="14">
        <f t="shared" si="4"/>
        <v>0</v>
      </c>
      <c r="S9" s="15">
        <f>IF(G4=0,0,R9/$R$20)</f>
        <v>0</v>
      </c>
      <c r="T9" s="14">
        <f t="shared" si="1"/>
        <v>0</v>
      </c>
    </row>
    <row r="10" spans="1:20" x14ac:dyDescent="0.35">
      <c r="A10" s="44">
        <f>'Data Kriteria'!C11</f>
        <v>1</v>
      </c>
      <c r="B10" s="30">
        <f>'Data Kriteria'!B11</f>
        <v>0</v>
      </c>
      <c r="C10" s="41">
        <f>IF(OR(C3=1,$A$10=1),1,$A$10/C3)</f>
        <v>1</v>
      </c>
      <c r="D10" s="41">
        <f t="shared" ref="D10:Q10" si="7">IF(OR(D3=1,$A$10=1),1,$A$10/D3)</f>
        <v>1</v>
      </c>
      <c r="E10" s="41">
        <f t="shared" si="7"/>
        <v>1</v>
      </c>
      <c r="F10" s="41">
        <f t="shared" si="7"/>
        <v>1</v>
      </c>
      <c r="G10" s="41">
        <f t="shared" si="7"/>
        <v>1</v>
      </c>
      <c r="H10" s="41">
        <f t="shared" si="7"/>
        <v>1</v>
      </c>
      <c r="I10" s="41">
        <f t="shared" si="7"/>
        <v>1</v>
      </c>
      <c r="J10" s="41">
        <f t="shared" si="7"/>
        <v>1</v>
      </c>
      <c r="K10" s="41">
        <f t="shared" si="7"/>
        <v>1</v>
      </c>
      <c r="L10" s="41">
        <f t="shared" si="7"/>
        <v>1</v>
      </c>
      <c r="M10" s="41">
        <f t="shared" si="7"/>
        <v>1</v>
      </c>
      <c r="N10" s="41">
        <f t="shared" si="7"/>
        <v>1</v>
      </c>
      <c r="O10" s="41">
        <f t="shared" si="7"/>
        <v>1</v>
      </c>
      <c r="P10" s="41">
        <f t="shared" si="7"/>
        <v>1</v>
      </c>
      <c r="Q10" s="41">
        <f t="shared" si="7"/>
        <v>1</v>
      </c>
      <c r="R10" s="14">
        <f t="shared" si="4"/>
        <v>0</v>
      </c>
      <c r="S10" s="15">
        <f>IF(H4=0,0,R10/$R$20)</f>
        <v>0</v>
      </c>
      <c r="T10" s="14">
        <f>IF(A10=1,0,(C10*$S$5+D10*$S$6+E10*$S$7+F10*$S$8+G10*$S$9+H10*$S$10+I10*$S$11+J10*$S$12+K10*$S$13+L10*$S$14+M10*$S$15+N10*$S$16+O10*$S$17+P10*$S$18+Q10*$S$19)/S10)</f>
        <v>0</v>
      </c>
    </row>
    <row r="11" spans="1:20" x14ac:dyDescent="0.35">
      <c r="A11" s="44">
        <f>'Data Kriteria'!C12</f>
        <v>1</v>
      </c>
      <c r="B11" s="30">
        <f>'Data Kriteria'!B12</f>
        <v>0</v>
      </c>
      <c r="C11" s="41">
        <f>IF(OR(C3=1,$A$11=1),1,$A$11/C3)</f>
        <v>1</v>
      </c>
      <c r="D11" s="41">
        <f t="shared" ref="D11:Q11" si="8">IF(OR(D3=1,$A$11=1),1,$A$11/D3)</f>
        <v>1</v>
      </c>
      <c r="E11" s="41">
        <f t="shared" si="8"/>
        <v>1</v>
      </c>
      <c r="F11" s="41">
        <f t="shared" si="8"/>
        <v>1</v>
      </c>
      <c r="G11" s="41">
        <f t="shared" si="8"/>
        <v>1</v>
      </c>
      <c r="H11" s="41">
        <f t="shared" si="8"/>
        <v>1</v>
      </c>
      <c r="I11" s="41">
        <f t="shared" si="8"/>
        <v>1</v>
      </c>
      <c r="J11" s="41">
        <f t="shared" si="8"/>
        <v>1</v>
      </c>
      <c r="K11" s="41">
        <f t="shared" si="8"/>
        <v>1</v>
      </c>
      <c r="L11" s="41">
        <f t="shared" si="8"/>
        <v>1</v>
      </c>
      <c r="M11" s="41">
        <f t="shared" si="8"/>
        <v>1</v>
      </c>
      <c r="N11" s="41">
        <f t="shared" si="8"/>
        <v>1</v>
      </c>
      <c r="O11" s="41">
        <f t="shared" si="8"/>
        <v>1</v>
      </c>
      <c r="P11" s="41">
        <f t="shared" si="8"/>
        <v>1</v>
      </c>
      <c r="Q11" s="41">
        <f t="shared" si="8"/>
        <v>1</v>
      </c>
      <c r="R11" s="14">
        <f t="shared" si="4"/>
        <v>0</v>
      </c>
      <c r="S11" s="15">
        <f>IF(I4=0,0,R11/$R$20)</f>
        <v>0</v>
      </c>
      <c r="T11" s="14">
        <f t="shared" ref="T11:T19" si="9">IF(A11=1,0,(C11*$S$5+D11*$S$6+E11*$S$7+F11*$S$8+G11*$S$9+H11*$S$10+I11*$S$11+J11*$S$12+K11*$S$13+L11*$S$14+M11*$S$15+N11*$S$16+O11*$S$17+P11*$S$18+Q11*$S$19)/S11)</f>
        <v>0</v>
      </c>
    </row>
    <row r="12" spans="1:20" x14ac:dyDescent="0.35">
      <c r="A12" s="44">
        <f>'Data Kriteria'!C13</f>
        <v>1</v>
      </c>
      <c r="B12" s="30">
        <f>'Data Kriteria'!B13</f>
        <v>0</v>
      </c>
      <c r="C12" s="41">
        <f>IF(OR(C3=1,$A$12=1),1,$A$12/C3)</f>
        <v>1</v>
      </c>
      <c r="D12" s="41">
        <f t="shared" ref="D12:Q12" si="10">IF(OR(D3=1,$A$12=1),1,$A$12/D3)</f>
        <v>1</v>
      </c>
      <c r="E12" s="41">
        <f t="shared" si="10"/>
        <v>1</v>
      </c>
      <c r="F12" s="41">
        <f t="shared" si="10"/>
        <v>1</v>
      </c>
      <c r="G12" s="41">
        <f t="shared" si="10"/>
        <v>1</v>
      </c>
      <c r="H12" s="41">
        <f t="shared" si="10"/>
        <v>1</v>
      </c>
      <c r="I12" s="41">
        <f t="shared" si="10"/>
        <v>1</v>
      </c>
      <c r="J12" s="41">
        <f t="shared" si="10"/>
        <v>1</v>
      </c>
      <c r="K12" s="41">
        <f t="shared" si="10"/>
        <v>1</v>
      </c>
      <c r="L12" s="41">
        <f t="shared" si="10"/>
        <v>1</v>
      </c>
      <c r="M12" s="41">
        <f t="shared" si="10"/>
        <v>1</v>
      </c>
      <c r="N12" s="41">
        <f t="shared" si="10"/>
        <v>1</v>
      </c>
      <c r="O12" s="41">
        <f t="shared" si="10"/>
        <v>1</v>
      </c>
      <c r="P12" s="41">
        <f t="shared" si="10"/>
        <v>1</v>
      </c>
      <c r="Q12" s="41">
        <f t="shared" si="10"/>
        <v>1</v>
      </c>
      <c r="R12" s="14">
        <f t="shared" si="4"/>
        <v>0</v>
      </c>
      <c r="S12" s="15">
        <f>IF(J4=0,0,R12/$R$20)</f>
        <v>0</v>
      </c>
      <c r="T12" s="14">
        <f t="shared" si="9"/>
        <v>0</v>
      </c>
    </row>
    <row r="13" spans="1:20" x14ac:dyDescent="0.35">
      <c r="A13" s="44">
        <f>'Data Kriteria'!C14</f>
        <v>1</v>
      </c>
      <c r="B13" s="30">
        <f>'Data Kriteria'!B14</f>
        <v>0</v>
      </c>
      <c r="C13" s="41">
        <f>IF(OR(C3=1,$A$13=1),1,$A$13/C3)</f>
        <v>1</v>
      </c>
      <c r="D13" s="41">
        <f t="shared" ref="D13:Q13" si="11">IF(OR(D3=1,$A$13=1),1,$A$13/D3)</f>
        <v>1</v>
      </c>
      <c r="E13" s="41">
        <f t="shared" si="11"/>
        <v>1</v>
      </c>
      <c r="F13" s="41">
        <f t="shared" si="11"/>
        <v>1</v>
      </c>
      <c r="G13" s="41">
        <f t="shared" si="11"/>
        <v>1</v>
      </c>
      <c r="H13" s="41">
        <f t="shared" si="11"/>
        <v>1</v>
      </c>
      <c r="I13" s="41">
        <f t="shared" si="11"/>
        <v>1</v>
      </c>
      <c r="J13" s="41">
        <f t="shared" si="11"/>
        <v>1</v>
      </c>
      <c r="K13" s="41">
        <f t="shared" si="11"/>
        <v>1</v>
      </c>
      <c r="L13" s="41">
        <f t="shared" si="11"/>
        <v>1</v>
      </c>
      <c r="M13" s="41">
        <f t="shared" si="11"/>
        <v>1</v>
      </c>
      <c r="N13" s="41">
        <f t="shared" si="11"/>
        <v>1</v>
      </c>
      <c r="O13" s="41">
        <f t="shared" si="11"/>
        <v>1</v>
      </c>
      <c r="P13" s="41">
        <f t="shared" si="11"/>
        <v>1</v>
      </c>
      <c r="Q13" s="41">
        <f t="shared" si="11"/>
        <v>1</v>
      </c>
      <c r="R13" s="14">
        <f t="shared" si="4"/>
        <v>0</v>
      </c>
      <c r="S13" s="15">
        <f>IF(K4=0,0,R13/$R$20)</f>
        <v>0</v>
      </c>
      <c r="T13" s="14">
        <f t="shared" si="9"/>
        <v>0</v>
      </c>
    </row>
    <row r="14" spans="1:20" x14ac:dyDescent="0.35">
      <c r="A14" s="44">
        <f>'Data Kriteria'!C15</f>
        <v>1</v>
      </c>
      <c r="B14" s="30">
        <f>'Data Kriteria'!B15</f>
        <v>0</v>
      </c>
      <c r="C14" s="41">
        <f>IF(OR(C3=1,$A$14=1),1,$A$14/C3)</f>
        <v>1</v>
      </c>
      <c r="D14" s="41">
        <f t="shared" ref="D14:Q14" si="12">IF(OR(D3=1,$A$14=1),1,$A$14/D3)</f>
        <v>1</v>
      </c>
      <c r="E14" s="41">
        <f t="shared" si="12"/>
        <v>1</v>
      </c>
      <c r="F14" s="41">
        <f t="shared" si="12"/>
        <v>1</v>
      </c>
      <c r="G14" s="41">
        <f t="shared" si="12"/>
        <v>1</v>
      </c>
      <c r="H14" s="41">
        <f t="shared" si="12"/>
        <v>1</v>
      </c>
      <c r="I14" s="41">
        <f t="shared" si="12"/>
        <v>1</v>
      </c>
      <c r="J14" s="41">
        <f t="shared" si="12"/>
        <v>1</v>
      </c>
      <c r="K14" s="41">
        <f t="shared" si="12"/>
        <v>1</v>
      </c>
      <c r="L14" s="41">
        <f t="shared" si="12"/>
        <v>1</v>
      </c>
      <c r="M14" s="41">
        <f t="shared" si="12"/>
        <v>1</v>
      </c>
      <c r="N14" s="41">
        <f t="shared" si="12"/>
        <v>1</v>
      </c>
      <c r="O14" s="41">
        <f t="shared" si="12"/>
        <v>1</v>
      </c>
      <c r="P14" s="41">
        <f t="shared" si="12"/>
        <v>1</v>
      </c>
      <c r="Q14" s="41">
        <f t="shared" si="12"/>
        <v>1</v>
      </c>
      <c r="R14" s="14">
        <f t="shared" si="4"/>
        <v>0</v>
      </c>
      <c r="S14" s="15">
        <f>IF(L4=0,0,R14/$R$20)</f>
        <v>0</v>
      </c>
      <c r="T14" s="14">
        <f t="shared" si="9"/>
        <v>0</v>
      </c>
    </row>
    <row r="15" spans="1:20" x14ac:dyDescent="0.35">
      <c r="A15" s="44">
        <f>'Data Kriteria'!C16</f>
        <v>1</v>
      </c>
      <c r="B15" s="30">
        <f>'Data Kriteria'!B16</f>
        <v>0</v>
      </c>
      <c r="C15" s="41">
        <f>IF(OR(C3=1,$A$15=1),1,$A$15/C3)</f>
        <v>1</v>
      </c>
      <c r="D15" s="41">
        <f t="shared" ref="D15:Q15" si="13">IF(OR(D3=1,$A$15=1),1,$A$15/D3)</f>
        <v>1</v>
      </c>
      <c r="E15" s="41">
        <f t="shared" si="13"/>
        <v>1</v>
      </c>
      <c r="F15" s="41">
        <f t="shared" si="13"/>
        <v>1</v>
      </c>
      <c r="G15" s="41">
        <f t="shared" si="13"/>
        <v>1</v>
      </c>
      <c r="H15" s="41">
        <f t="shared" si="13"/>
        <v>1</v>
      </c>
      <c r="I15" s="41">
        <f t="shared" si="13"/>
        <v>1</v>
      </c>
      <c r="J15" s="41">
        <f t="shared" si="13"/>
        <v>1</v>
      </c>
      <c r="K15" s="41">
        <f t="shared" si="13"/>
        <v>1</v>
      </c>
      <c r="L15" s="41">
        <f t="shared" si="13"/>
        <v>1</v>
      </c>
      <c r="M15" s="41">
        <f t="shared" si="13"/>
        <v>1</v>
      </c>
      <c r="N15" s="41">
        <f t="shared" si="13"/>
        <v>1</v>
      </c>
      <c r="O15" s="41">
        <f t="shared" si="13"/>
        <v>1</v>
      </c>
      <c r="P15" s="41">
        <f t="shared" si="13"/>
        <v>1</v>
      </c>
      <c r="Q15" s="41">
        <f t="shared" si="13"/>
        <v>1</v>
      </c>
      <c r="R15" s="14">
        <f t="shared" si="4"/>
        <v>0</v>
      </c>
      <c r="S15" s="15">
        <f>IF(M4=0,0,R15/$R$20)</f>
        <v>0</v>
      </c>
      <c r="T15" s="14">
        <f t="shared" si="9"/>
        <v>0</v>
      </c>
    </row>
    <row r="16" spans="1:20" x14ac:dyDescent="0.35">
      <c r="A16" s="44">
        <f>'Data Kriteria'!C17</f>
        <v>1</v>
      </c>
      <c r="B16" s="30">
        <f>'Data Kriteria'!B17</f>
        <v>0</v>
      </c>
      <c r="C16" s="41">
        <f>IF(OR(C3=1,$A$16=1),1,$A$16/C3)</f>
        <v>1</v>
      </c>
      <c r="D16" s="41">
        <f t="shared" ref="D16:Q16" si="14">IF(OR(D3=1,$A$16=1),1,$A$16/D3)</f>
        <v>1</v>
      </c>
      <c r="E16" s="41">
        <f t="shared" si="14"/>
        <v>1</v>
      </c>
      <c r="F16" s="41">
        <f t="shared" si="14"/>
        <v>1</v>
      </c>
      <c r="G16" s="41">
        <f t="shared" si="14"/>
        <v>1</v>
      </c>
      <c r="H16" s="41">
        <f t="shared" si="14"/>
        <v>1</v>
      </c>
      <c r="I16" s="41">
        <f t="shared" si="14"/>
        <v>1</v>
      </c>
      <c r="J16" s="41">
        <f t="shared" si="14"/>
        <v>1</v>
      </c>
      <c r="K16" s="41">
        <f t="shared" si="14"/>
        <v>1</v>
      </c>
      <c r="L16" s="41">
        <f t="shared" si="14"/>
        <v>1</v>
      </c>
      <c r="M16" s="41">
        <f t="shared" si="14"/>
        <v>1</v>
      </c>
      <c r="N16" s="41">
        <f t="shared" si="14"/>
        <v>1</v>
      </c>
      <c r="O16" s="41">
        <f t="shared" si="14"/>
        <v>1</v>
      </c>
      <c r="P16" s="41">
        <f t="shared" si="14"/>
        <v>1</v>
      </c>
      <c r="Q16" s="41">
        <f t="shared" si="14"/>
        <v>1</v>
      </c>
      <c r="R16" s="14">
        <f t="shared" si="4"/>
        <v>0</v>
      </c>
      <c r="S16" s="15">
        <f>IF(N4=0,0,R16/$R$20)</f>
        <v>0</v>
      </c>
      <c r="T16" s="14">
        <f t="shared" si="9"/>
        <v>0</v>
      </c>
    </row>
    <row r="17" spans="1:20" x14ac:dyDescent="0.35">
      <c r="A17" s="44">
        <f>'Data Kriteria'!C18</f>
        <v>1</v>
      </c>
      <c r="B17" s="30">
        <f>'Data Kriteria'!B18</f>
        <v>0</v>
      </c>
      <c r="C17" s="41">
        <f>IF(OR(C3=1,$A$17=1),1,$A$17/C3)</f>
        <v>1</v>
      </c>
      <c r="D17" s="41">
        <f t="shared" ref="D17:Q17" si="15">IF(OR(D3=1,$A$17=1),1,$A$17/D3)</f>
        <v>1</v>
      </c>
      <c r="E17" s="41">
        <f t="shared" si="15"/>
        <v>1</v>
      </c>
      <c r="F17" s="41">
        <f t="shared" si="15"/>
        <v>1</v>
      </c>
      <c r="G17" s="41">
        <f t="shared" si="15"/>
        <v>1</v>
      </c>
      <c r="H17" s="41">
        <f t="shared" si="15"/>
        <v>1</v>
      </c>
      <c r="I17" s="41">
        <f t="shared" si="15"/>
        <v>1</v>
      </c>
      <c r="J17" s="41">
        <f t="shared" si="15"/>
        <v>1</v>
      </c>
      <c r="K17" s="41">
        <f t="shared" si="15"/>
        <v>1</v>
      </c>
      <c r="L17" s="41">
        <f t="shared" si="15"/>
        <v>1</v>
      </c>
      <c r="M17" s="41">
        <f t="shared" si="15"/>
        <v>1</v>
      </c>
      <c r="N17" s="41">
        <f t="shared" si="15"/>
        <v>1</v>
      </c>
      <c r="O17" s="41">
        <f t="shared" si="15"/>
        <v>1</v>
      </c>
      <c r="P17" s="41">
        <f t="shared" si="15"/>
        <v>1</v>
      </c>
      <c r="Q17" s="41">
        <f t="shared" si="15"/>
        <v>1</v>
      </c>
      <c r="R17" s="14">
        <f t="shared" si="4"/>
        <v>0</v>
      </c>
      <c r="S17" s="15">
        <f>IF(O4=0,0,R17/$R$20)</f>
        <v>0</v>
      </c>
      <c r="T17" s="14">
        <f t="shared" si="9"/>
        <v>0</v>
      </c>
    </row>
    <row r="18" spans="1:20" x14ac:dyDescent="0.35">
      <c r="A18" s="44">
        <f>'Data Kriteria'!C19</f>
        <v>1</v>
      </c>
      <c r="B18" s="30">
        <f>'Data Kriteria'!B19</f>
        <v>0</v>
      </c>
      <c r="C18" s="41">
        <f>IF(OR(C3=1,$A$18=1),1,$A$18/C3)</f>
        <v>1</v>
      </c>
      <c r="D18" s="41">
        <f t="shared" ref="D18:Q18" si="16">IF(OR(D3=1,$A$18=1),1,$A$18/D3)</f>
        <v>1</v>
      </c>
      <c r="E18" s="41">
        <f t="shared" si="16"/>
        <v>1</v>
      </c>
      <c r="F18" s="41">
        <f t="shared" si="16"/>
        <v>1</v>
      </c>
      <c r="G18" s="41">
        <f t="shared" si="16"/>
        <v>1</v>
      </c>
      <c r="H18" s="41">
        <f t="shared" si="16"/>
        <v>1</v>
      </c>
      <c r="I18" s="41">
        <f t="shared" si="16"/>
        <v>1</v>
      </c>
      <c r="J18" s="41">
        <f t="shared" si="16"/>
        <v>1</v>
      </c>
      <c r="K18" s="41">
        <f t="shared" si="16"/>
        <v>1</v>
      </c>
      <c r="L18" s="41">
        <f t="shared" si="16"/>
        <v>1</v>
      </c>
      <c r="M18" s="41">
        <f t="shared" si="16"/>
        <v>1</v>
      </c>
      <c r="N18" s="41">
        <f t="shared" si="16"/>
        <v>1</v>
      </c>
      <c r="O18" s="41">
        <f t="shared" si="16"/>
        <v>1</v>
      </c>
      <c r="P18" s="41">
        <f t="shared" si="16"/>
        <v>1</v>
      </c>
      <c r="Q18" s="41">
        <f t="shared" si="16"/>
        <v>1</v>
      </c>
      <c r="R18" s="14">
        <f t="shared" si="4"/>
        <v>0</v>
      </c>
      <c r="S18" s="15">
        <f>IF(P4=0,0,R18/$R$20)</f>
        <v>0</v>
      </c>
      <c r="T18" s="14">
        <f t="shared" si="9"/>
        <v>0</v>
      </c>
    </row>
    <row r="19" spans="1:20" x14ac:dyDescent="0.35">
      <c r="A19" s="44">
        <f>'Data Kriteria'!C20</f>
        <v>1</v>
      </c>
      <c r="B19" s="30">
        <f>'Data Kriteria'!B20</f>
        <v>0</v>
      </c>
      <c r="C19" s="41">
        <f>IF(OR(C3=1,$A$19=1),1,$A$19/C3)</f>
        <v>1</v>
      </c>
      <c r="D19" s="41">
        <f t="shared" ref="D19:Q19" si="17">IF(OR(D3=1,$A$19=1),1,$A$19/D3)</f>
        <v>1</v>
      </c>
      <c r="E19" s="41">
        <f t="shared" si="17"/>
        <v>1</v>
      </c>
      <c r="F19" s="41">
        <f t="shared" si="17"/>
        <v>1</v>
      </c>
      <c r="G19" s="41">
        <f t="shared" si="17"/>
        <v>1</v>
      </c>
      <c r="H19" s="41">
        <f t="shared" si="17"/>
        <v>1</v>
      </c>
      <c r="I19" s="41">
        <f t="shared" si="17"/>
        <v>1</v>
      </c>
      <c r="J19" s="41">
        <f t="shared" si="17"/>
        <v>1</v>
      </c>
      <c r="K19" s="41">
        <f t="shared" si="17"/>
        <v>1</v>
      </c>
      <c r="L19" s="41">
        <f t="shared" si="17"/>
        <v>1</v>
      </c>
      <c r="M19" s="41">
        <f t="shared" si="17"/>
        <v>1</v>
      </c>
      <c r="N19" s="41">
        <f t="shared" si="17"/>
        <v>1</v>
      </c>
      <c r="O19" s="41">
        <f t="shared" si="17"/>
        <v>1</v>
      </c>
      <c r="P19" s="41">
        <f t="shared" si="17"/>
        <v>1</v>
      </c>
      <c r="Q19" s="41">
        <f t="shared" si="17"/>
        <v>1</v>
      </c>
      <c r="R19" s="14">
        <f t="shared" si="4"/>
        <v>0</v>
      </c>
      <c r="S19" s="15">
        <f>IF(Q4=0,0,R19/$R$20)</f>
        <v>0</v>
      </c>
      <c r="T19" s="14">
        <f t="shared" si="9"/>
        <v>0</v>
      </c>
    </row>
    <row r="20" spans="1:20" x14ac:dyDescent="0.35">
      <c r="R20" s="14">
        <f>SUM(R5:R19)</f>
        <v>0</v>
      </c>
      <c r="S20" s="14">
        <f>SUM(S5:S19)</f>
        <v>0</v>
      </c>
      <c r="T20" s="15">
        <f>MAX(T5:T19)</f>
        <v>0</v>
      </c>
    </row>
    <row r="22" spans="1:20" ht="15" thickBot="1" x14ac:dyDescent="0.4">
      <c r="S22" s="5" t="s">
        <v>49</v>
      </c>
      <c r="T22" s="16">
        <f>T20</f>
        <v>0</v>
      </c>
    </row>
    <row r="23" spans="1:20" ht="15" thickBot="1" x14ac:dyDescent="0.4">
      <c r="B23" s="4" t="s">
        <v>38</v>
      </c>
      <c r="C23" s="4"/>
      <c r="D23" s="4"/>
      <c r="E23" s="42">
        <f>Challanges!D3</f>
        <v>0</v>
      </c>
      <c r="S23" s="6" t="s">
        <v>39</v>
      </c>
      <c r="T23" s="3">
        <f>(T22-E23)/(E23-1)</f>
        <v>0</v>
      </c>
    </row>
    <row r="24" spans="1:20" x14ac:dyDescent="0.35">
      <c r="S24" s="6" t="s">
        <v>40</v>
      </c>
      <c r="T24" s="57" t="b">
        <f>IF(E23=E25,E26,IF(E23=F25,F26,IF(E23=G25,G26,IF(E23=H25,H26,IF(E23=I25,I26,IF(E23=J25,J26,IF(E23=K25,K26,IF(E23=L25,L26,IF(E23=M25,M26,IF(E23=N25,N26,IF(E23=O25,O26,IF(E23=P25,P26,IF(E23=Q25,Q26)))))))))))))</f>
        <v>0</v>
      </c>
    </row>
    <row r="25" spans="1:20" x14ac:dyDescent="0.35">
      <c r="B25" s="2" t="s">
        <v>41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S25" s="6" t="s">
        <v>42</v>
      </c>
      <c r="T25" s="16" t="e">
        <f>T23/T24</f>
        <v>#DIV/0!</v>
      </c>
    </row>
    <row r="26" spans="1:20" x14ac:dyDescent="0.35">
      <c r="B26" s="2" t="s">
        <v>40</v>
      </c>
      <c r="C26" s="87">
        <v>0</v>
      </c>
      <c r="D26" s="87">
        <v>0</v>
      </c>
      <c r="E26" s="87">
        <v>0.57999999999999996</v>
      </c>
      <c r="F26" s="87">
        <v>0.9</v>
      </c>
      <c r="G26" s="87">
        <v>1.1200000000000001</v>
      </c>
      <c r="H26" s="87">
        <v>1.24</v>
      </c>
      <c r="I26" s="87">
        <v>1.32</v>
      </c>
      <c r="J26" s="87">
        <v>1.41</v>
      </c>
      <c r="K26" s="87">
        <v>1.45</v>
      </c>
      <c r="L26" s="87">
        <v>1.49</v>
      </c>
      <c r="M26" s="87">
        <v>1.51</v>
      </c>
      <c r="N26" s="87">
        <v>1.54</v>
      </c>
      <c r="O26" s="87">
        <v>1.56</v>
      </c>
      <c r="P26" s="87">
        <v>1.57</v>
      </c>
      <c r="Q26" s="87">
        <v>1.58</v>
      </c>
    </row>
    <row r="27" spans="1:20" x14ac:dyDescent="0.35">
      <c r="S27" s="6" t="s">
        <v>43</v>
      </c>
      <c r="T27" s="1" t="s">
        <v>44</v>
      </c>
    </row>
    <row r="28" spans="1:20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x14ac:dyDescent="0.35">
      <c r="A29" s="46" t="s">
        <v>46</v>
      </c>
      <c r="B29" s="88">
        <f>'Data Kriteria'!D5</f>
        <v>0</v>
      </c>
    </row>
    <row r="30" spans="1:20" x14ac:dyDescent="0.35">
      <c r="C30" s="44" cm="1">
        <f t="array" ref="C30:Q30">TRANSPOSE(A32:A46)</f>
        <v>1</v>
      </c>
      <c r="D30" s="44">
        <v>1</v>
      </c>
      <c r="E30" s="44">
        <v>1</v>
      </c>
      <c r="F30" s="44">
        <v>1</v>
      </c>
      <c r="G30" s="44">
        <v>1</v>
      </c>
      <c r="H30" s="44">
        <v>1</v>
      </c>
      <c r="I30" s="44">
        <v>1</v>
      </c>
      <c r="J30" s="44">
        <v>1</v>
      </c>
      <c r="K30" s="44">
        <v>1</v>
      </c>
      <c r="L30" s="44">
        <v>1</v>
      </c>
      <c r="M30" s="44">
        <v>1</v>
      </c>
      <c r="N30" s="44">
        <v>1</v>
      </c>
      <c r="O30" s="44">
        <v>1</v>
      </c>
      <c r="P30" s="44">
        <v>1</v>
      </c>
      <c r="Q30" s="44">
        <v>1</v>
      </c>
    </row>
    <row r="31" spans="1:20" x14ac:dyDescent="0.35">
      <c r="B31" s="82">
        <v>2</v>
      </c>
      <c r="C31" s="30" cm="1">
        <f t="array" ref="C31:Q31">TRANSPOSE(B32:B46)</f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43">
        <v>0</v>
      </c>
      <c r="R31" s="45" t="s">
        <v>47</v>
      </c>
      <c r="S31" s="45" t="s">
        <v>35</v>
      </c>
      <c r="T31" s="45" t="s">
        <v>48</v>
      </c>
    </row>
    <row r="32" spans="1:20" x14ac:dyDescent="0.35">
      <c r="A32" s="44">
        <f>'Data Kriteria'!D6</f>
        <v>1</v>
      </c>
      <c r="B32" s="30">
        <f>'Data Kriteria'!B6</f>
        <v>0</v>
      </c>
      <c r="C32" s="41">
        <f>IF(OR(C30=1,$A$32=1),1,$A$32/C30)</f>
        <v>1</v>
      </c>
      <c r="D32" s="41">
        <f t="shared" ref="D32:Q32" si="18">IF(OR(D30=1,$A$32=1),1,$A$32/D30)</f>
        <v>1</v>
      </c>
      <c r="E32" s="41">
        <f t="shared" si="18"/>
        <v>1</v>
      </c>
      <c r="F32" s="41">
        <f t="shared" si="18"/>
        <v>1</v>
      </c>
      <c r="G32" s="41">
        <f t="shared" si="18"/>
        <v>1</v>
      </c>
      <c r="H32" s="41">
        <f t="shared" si="18"/>
        <v>1</v>
      </c>
      <c r="I32" s="41">
        <f t="shared" si="18"/>
        <v>1</v>
      </c>
      <c r="J32" s="41">
        <f t="shared" si="18"/>
        <v>1</v>
      </c>
      <c r="K32" s="41">
        <f t="shared" si="18"/>
        <v>1</v>
      </c>
      <c r="L32" s="41">
        <f t="shared" si="18"/>
        <v>1</v>
      </c>
      <c r="M32" s="41">
        <f t="shared" si="18"/>
        <v>1</v>
      </c>
      <c r="N32" s="41">
        <f t="shared" si="18"/>
        <v>1</v>
      </c>
      <c r="O32" s="41">
        <f t="shared" si="18"/>
        <v>1</v>
      </c>
      <c r="P32" s="41">
        <f t="shared" si="18"/>
        <v>1</v>
      </c>
      <c r="Q32" s="41">
        <f t="shared" si="18"/>
        <v>1</v>
      </c>
      <c r="R32" s="14">
        <f>IF(A32=1,0,(C32*D32*E32*F32*G32*H32*I32*J32*K32*L32*M32*N32*O32*P32*Q32)^(1/$E$50))</f>
        <v>0</v>
      </c>
      <c r="S32" s="15">
        <f>IF(C31=0,0,R32/$R$47)</f>
        <v>0</v>
      </c>
      <c r="T32" s="14">
        <f t="shared" ref="T32:T36" si="19">IF(A32=1,0,(C32*$S$5+D32*$S$6+E32*$S$7+F32*$S$8+G32*$S$9+H32*$S$10+I32*$S$11+J32*$S$12+K32*$S$13+L32*$S$14+M32*$S$15+N32*$S$16+O32*$S$17+P32*$S$18+Q32*$S$19)/S32)</f>
        <v>0</v>
      </c>
    </row>
    <row r="33" spans="1:20" x14ac:dyDescent="0.35">
      <c r="A33" s="44">
        <f>'Data Kriteria'!D7</f>
        <v>1</v>
      </c>
      <c r="B33" s="30">
        <f>'Data Kriteria'!B7</f>
        <v>0</v>
      </c>
      <c r="C33" s="41">
        <f>IF(OR(C30=1,$A$33=1),1,$A$33/C30)</f>
        <v>1</v>
      </c>
      <c r="D33" s="41">
        <f t="shared" ref="D33:Q33" si="20">IF(OR(D30=1,$A$33=1),1,$A$33/D30)</f>
        <v>1</v>
      </c>
      <c r="E33" s="41">
        <f t="shared" si="20"/>
        <v>1</v>
      </c>
      <c r="F33" s="41">
        <f t="shared" si="20"/>
        <v>1</v>
      </c>
      <c r="G33" s="41">
        <f t="shared" si="20"/>
        <v>1</v>
      </c>
      <c r="H33" s="41">
        <f t="shared" si="20"/>
        <v>1</v>
      </c>
      <c r="I33" s="41">
        <f t="shared" si="20"/>
        <v>1</v>
      </c>
      <c r="J33" s="41">
        <f t="shared" si="20"/>
        <v>1</v>
      </c>
      <c r="K33" s="41">
        <f t="shared" si="20"/>
        <v>1</v>
      </c>
      <c r="L33" s="41">
        <f t="shared" si="20"/>
        <v>1</v>
      </c>
      <c r="M33" s="41">
        <f t="shared" si="20"/>
        <v>1</v>
      </c>
      <c r="N33" s="41">
        <f t="shared" si="20"/>
        <v>1</v>
      </c>
      <c r="O33" s="41">
        <f t="shared" si="20"/>
        <v>1</v>
      </c>
      <c r="P33" s="41">
        <f t="shared" si="20"/>
        <v>1</v>
      </c>
      <c r="Q33" s="41">
        <f t="shared" si="20"/>
        <v>1</v>
      </c>
      <c r="R33" s="14">
        <f t="shared" ref="R33:R46" si="21">IF(A33=1,0,(C33*D33*E33*F33*G33*H33*I33*J33*K33*L33*M33*N33*O33*P33*Q33)^(1/$E$50))</f>
        <v>0</v>
      </c>
      <c r="S33" s="15">
        <f>IF(D31=0,0,R33/$R$47)</f>
        <v>0</v>
      </c>
      <c r="T33" s="14">
        <f t="shared" si="19"/>
        <v>0</v>
      </c>
    </row>
    <row r="34" spans="1:20" x14ac:dyDescent="0.35">
      <c r="A34" s="44">
        <f>'Data Kriteria'!D8</f>
        <v>1</v>
      </c>
      <c r="B34" s="30">
        <f>'Data Kriteria'!B8</f>
        <v>0</v>
      </c>
      <c r="C34" s="41">
        <f>IF(OR(C30=1,$A$34=1),1,$A$34/C30)</f>
        <v>1</v>
      </c>
      <c r="D34" s="41">
        <f t="shared" ref="D34:Q34" si="22">IF(OR(D30=1,$A$34=1),1,$A$34/D30)</f>
        <v>1</v>
      </c>
      <c r="E34" s="41">
        <f t="shared" si="22"/>
        <v>1</v>
      </c>
      <c r="F34" s="41">
        <f t="shared" si="22"/>
        <v>1</v>
      </c>
      <c r="G34" s="41">
        <f t="shared" si="22"/>
        <v>1</v>
      </c>
      <c r="H34" s="41">
        <f t="shared" si="22"/>
        <v>1</v>
      </c>
      <c r="I34" s="41">
        <f t="shared" si="22"/>
        <v>1</v>
      </c>
      <c r="J34" s="41">
        <f t="shared" si="22"/>
        <v>1</v>
      </c>
      <c r="K34" s="41">
        <f t="shared" si="22"/>
        <v>1</v>
      </c>
      <c r="L34" s="41">
        <f t="shared" si="22"/>
        <v>1</v>
      </c>
      <c r="M34" s="41">
        <f t="shared" si="22"/>
        <v>1</v>
      </c>
      <c r="N34" s="41">
        <f t="shared" si="22"/>
        <v>1</v>
      </c>
      <c r="O34" s="41">
        <f t="shared" si="22"/>
        <v>1</v>
      </c>
      <c r="P34" s="41">
        <f t="shared" si="22"/>
        <v>1</v>
      </c>
      <c r="Q34" s="41">
        <f t="shared" si="22"/>
        <v>1</v>
      </c>
      <c r="R34" s="14">
        <f t="shared" si="21"/>
        <v>0</v>
      </c>
      <c r="S34" s="15">
        <f>IF(E31=0,0,R34/$R$47)</f>
        <v>0</v>
      </c>
      <c r="T34" s="14">
        <f t="shared" si="19"/>
        <v>0</v>
      </c>
    </row>
    <row r="35" spans="1:20" x14ac:dyDescent="0.35">
      <c r="A35" s="44">
        <f>'Data Kriteria'!D9</f>
        <v>1</v>
      </c>
      <c r="B35" s="30">
        <f>'Data Kriteria'!B9</f>
        <v>0</v>
      </c>
      <c r="C35" s="41">
        <f>IF(OR(C30=1,$A$35=1),1,$A$35/C30)</f>
        <v>1</v>
      </c>
      <c r="D35" s="41">
        <f t="shared" ref="D35:Q35" si="23">IF(OR(D30=1,$A$35=1),1,$A$35/D30)</f>
        <v>1</v>
      </c>
      <c r="E35" s="41">
        <f t="shared" si="23"/>
        <v>1</v>
      </c>
      <c r="F35" s="41">
        <f t="shared" si="23"/>
        <v>1</v>
      </c>
      <c r="G35" s="41">
        <f t="shared" si="23"/>
        <v>1</v>
      </c>
      <c r="H35" s="41">
        <f t="shared" si="23"/>
        <v>1</v>
      </c>
      <c r="I35" s="41">
        <f t="shared" si="23"/>
        <v>1</v>
      </c>
      <c r="J35" s="41">
        <f t="shared" si="23"/>
        <v>1</v>
      </c>
      <c r="K35" s="41">
        <f t="shared" si="23"/>
        <v>1</v>
      </c>
      <c r="L35" s="41">
        <f t="shared" si="23"/>
        <v>1</v>
      </c>
      <c r="M35" s="41">
        <f t="shared" si="23"/>
        <v>1</v>
      </c>
      <c r="N35" s="41">
        <f t="shared" si="23"/>
        <v>1</v>
      </c>
      <c r="O35" s="41">
        <f t="shared" si="23"/>
        <v>1</v>
      </c>
      <c r="P35" s="41">
        <f t="shared" si="23"/>
        <v>1</v>
      </c>
      <c r="Q35" s="41">
        <f t="shared" si="23"/>
        <v>1</v>
      </c>
      <c r="R35" s="14">
        <f t="shared" si="21"/>
        <v>0</v>
      </c>
      <c r="S35" s="15">
        <f>IF(F31=0,0,R35/$R$47)</f>
        <v>0</v>
      </c>
      <c r="T35" s="14">
        <f t="shared" si="19"/>
        <v>0</v>
      </c>
    </row>
    <row r="36" spans="1:20" x14ac:dyDescent="0.35">
      <c r="A36" s="44">
        <f>'Data Kriteria'!D10</f>
        <v>1</v>
      </c>
      <c r="B36" s="30">
        <f>'Data Kriteria'!B10</f>
        <v>0</v>
      </c>
      <c r="C36" s="41">
        <f>IF(OR(C30=1,$A$36=1),1,$A$36/C30)</f>
        <v>1</v>
      </c>
      <c r="D36" s="41">
        <f t="shared" ref="D36:Q36" si="24">IF(OR(D30=1,$A$36=1),1,$A$36/D30)</f>
        <v>1</v>
      </c>
      <c r="E36" s="41">
        <f t="shared" si="24"/>
        <v>1</v>
      </c>
      <c r="F36" s="41">
        <f t="shared" si="24"/>
        <v>1</v>
      </c>
      <c r="G36" s="41">
        <f t="shared" si="24"/>
        <v>1</v>
      </c>
      <c r="H36" s="41">
        <f t="shared" si="24"/>
        <v>1</v>
      </c>
      <c r="I36" s="41">
        <f t="shared" si="24"/>
        <v>1</v>
      </c>
      <c r="J36" s="41">
        <f t="shared" si="24"/>
        <v>1</v>
      </c>
      <c r="K36" s="41">
        <f t="shared" si="24"/>
        <v>1</v>
      </c>
      <c r="L36" s="41">
        <f t="shared" si="24"/>
        <v>1</v>
      </c>
      <c r="M36" s="41">
        <f t="shared" si="24"/>
        <v>1</v>
      </c>
      <c r="N36" s="41">
        <f t="shared" si="24"/>
        <v>1</v>
      </c>
      <c r="O36" s="41">
        <f t="shared" si="24"/>
        <v>1</v>
      </c>
      <c r="P36" s="41">
        <f t="shared" si="24"/>
        <v>1</v>
      </c>
      <c r="Q36" s="41">
        <f t="shared" si="24"/>
        <v>1</v>
      </c>
      <c r="R36" s="14">
        <f t="shared" si="21"/>
        <v>0</v>
      </c>
      <c r="S36" s="15">
        <f>IF(G31=0,0,R36/$R$47)</f>
        <v>0</v>
      </c>
      <c r="T36" s="14">
        <f t="shared" si="19"/>
        <v>0</v>
      </c>
    </row>
    <row r="37" spans="1:20" x14ac:dyDescent="0.35">
      <c r="A37" s="44">
        <f>'Data Kriteria'!D11</f>
        <v>1</v>
      </c>
      <c r="B37" s="30">
        <f>'Data Kriteria'!B11</f>
        <v>0</v>
      </c>
      <c r="C37" s="41">
        <f>IF(OR(C30=1,$A$37=1),1,$A$37/C30)</f>
        <v>1</v>
      </c>
      <c r="D37" s="41">
        <f t="shared" ref="D37:Q37" si="25">IF(OR(D30=1,$A$37=1),1,$A$37/D30)</f>
        <v>1</v>
      </c>
      <c r="E37" s="41">
        <f t="shared" si="25"/>
        <v>1</v>
      </c>
      <c r="F37" s="41">
        <f t="shared" si="25"/>
        <v>1</v>
      </c>
      <c r="G37" s="41">
        <f t="shared" si="25"/>
        <v>1</v>
      </c>
      <c r="H37" s="41">
        <f t="shared" si="25"/>
        <v>1</v>
      </c>
      <c r="I37" s="41">
        <f t="shared" si="25"/>
        <v>1</v>
      </c>
      <c r="J37" s="41">
        <f t="shared" si="25"/>
        <v>1</v>
      </c>
      <c r="K37" s="41">
        <f t="shared" si="25"/>
        <v>1</v>
      </c>
      <c r="L37" s="41">
        <f t="shared" si="25"/>
        <v>1</v>
      </c>
      <c r="M37" s="41">
        <f t="shared" si="25"/>
        <v>1</v>
      </c>
      <c r="N37" s="41">
        <f t="shared" si="25"/>
        <v>1</v>
      </c>
      <c r="O37" s="41">
        <f t="shared" si="25"/>
        <v>1</v>
      </c>
      <c r="P37" s="41">
        <f t="shared" si="25"/>
        <v>1</v>
      </c>
      <c r="Q37" s="41">
        <f t="shared" si="25"/>
        <v>1</v>
      </c>
      <c r="R37" s="14">
        <f t="shared" si="21"/>
        <v>0</v>
      </c>
      <c r="S37" s="15">
        <f>IF(H31=0,0,R37/$R$47)</f>
        <v>0</v>
      </c>
      <c r="T37" s="14">
        <f>IF(A37=1,0,(C37*$S$5+D37*$S$6+E37*$S$7+F37*$S$8+G37*$S$9+H37*$S$10+I37*$S$11+J37*$S$12+K37*$S$13+L37*$S$14+M37*$S$15+N37*$S$16+O37*$S$17+P37*$S$18+Q37*$S$19)/S37)</f>
        <v>0</v>
      </c>
    </row>
    <row r="38" spans="1:20" x14ac:dyDescent="0.35">
      <c r="A38" s="44">
        <f>'Data Kriteria'!D12</f>
        <v>1</v>
      </c>
      <c r="B38" s="30">
        <f>'Data Kriteria'!B12</f>
        <v>0</v>
      </c>
      <c r="C38" s="41">
        <f>IF(OR(C30=1,$A$38=1),1,$A$38/C30)</f>
        <v>1</v>
      </c>
      <c r="D38" s="41">
        <f t="shared" ref="D38:Q38" si="26">IF(OR(D30=1,$A$38=1),1,$A$38/D30)</f>
        <v>1</v>
      </c>
      <c r="E38" s="41">
        <f t="shared" si="26"/>
        <v>1</v>
      </c>
      <c r="F38" s="41">
        <f t="shared" si="26"/>
        <v>1</v>
      </c>
      <c r="G38" s="41">
        <f t="shared" si="26"/>
        <v>1</v>
      </c>
      <c r="H38" s="41">
        <f t="shared" si="26"/>
        <v>1</v>
      </c>
      <c r="I38" s="41">
        <f t="shared" si="26"/>
        <v>1</v>
      </c>
      <c r="J38" s="41">
        <f t="shared" si="26"/>
        <v>1</v>
      </c>
      <c r="K38" s="41">
        <f t="shared" si="26"/>
        <v>1</v>
      </c>
      <c r="L38" s="41">
        <f t="shared" si="26"/>
        <v>1</v>
      </c>
      <c r="M38" s="41">
        <f t="shared" si="26"/>
        <v>1</v>
      </c>
      <c r="N38" s="41">
        <f t="shared" si="26"/>
        <v>1</v>
      </c>
      <c r="O38" s="41">
        <f t="shared" si="26"/>
        <v>1</v>
      </c>
      <c r="P38" s="41">
        <f t="shared" si="26"/>
        <v>1</v>
      </c>
      <c r="Q38" s="41">
        <f t="shared" si="26"/>
        <v>1</v>
      </c>
      <c r="R38" s="14">
        <f t="shared" si="21"/>
        <v>0</v>
      </c>
      <c r="S38" s="15">
        <f>IF(I31=0,0,R38/$R$47)</f>
        <v>0</v>
      </c>
      <c r="T38" s="14">
        <f t="shared" ref="T38:T46" si="27">IF(A38=1,0,(C38*$S$5+D38*$S$6+E38*$S$7+F38*$S$8+G38*$S$9+H38*$S$10+I38*$S$11+J38*$S$12+K38*$S$13+L38*$S$14+M38*$S$15+N38*$S$16+O38*$S$17+P38*$S$18+Q38*$S$19)/S38)</f>
        <v>0</v>
      </c>
    </row>
    <row r="39" spans="1:20" x14ac:dyDescent="0.35">
      <c r="A39" s="44">
        <f>'Data Kriteria'!D13</f>
        <v>1</v>
      </c>
      <c r="B39" s="30">
        <f>'Data Kriteria'!B13</f>
        <v>0</v>
      </c>
      <c r="C39" s="41">
        <f>IF(OR(C30=1,$A$39=1),1,$A$39/C30)</f>
        <v>1</v>
      </c>
      <c r="D39" s="41">
        <f t="shared" ref="D39:Q39" si="28">IF(OR(D30=1,$A$39=1),1,$A$39/D30)</f>
        <v>1</v>
      </c>
      <c r="E39" s="41">
        <f t="shared" si="28"/>
        <v>1</v>
      </c>
      <c r="F39" s="41">
        <f t="shared" si="28"/>
        <v>1</v>
      </c>
      <c r="G39" s="41">
        <f t="shared" si="28"/>
        <v>1</v>
      </c>
      <c r="H39" s="41">
        <f t="shared" si="28"/>
        <v>1</v>
      </c>
      <c r="I39" s="41">
        <f t="shared" si="28"/>
        <v>1</v>
      </c>
      <c r="J39" s="41">
        <f t="shared" si="28"/>
        <v>1</v>
      </c>
      <c r="K39" s="41">
        <f t="shared" si="28"/>
        <v>1</v>
      </c>
      <c r="L39" s="41">
        <f t="shared" si="28"/>
        <v>1</v>
      </c>
      <c r="M39" s="41">
        <f t="shared" si="28"/>
        <v>1</v>
      </c>
      <c r="N39" s="41">
        <f t="shared" si="28"/>
        <v>1</v>
      </c>
      <c r="O39" s="41">
        <f t="shared" si="28"/>
        <v>1</v>
      </c>
      <c r="P39" s="41">
        <f t="shared" si="28"/>
        <v>1</v>
      </c>
      <c r="Q39" s="41">
        <f t="shared" si="28"/>
        <v>1</v>
      </c>
      <c r="R39" s="14">
        <f t="shared" si="21"/>
        <v>0</v>
      </c>
      <c r="S39" s="15">
        <f>IF(J31=0,0,R39/$R$47)</f>
        <v>0</v>
      </c>
      <c r="T39" s="14">
        <f>IF(A39=1,0,(C39*$S$5+D39*$S$6+E39*$S$7+F39*$S$8+G39*$S$9+H39*$S$10+I39*$S$11+J39*$S$12+K39*$S$13+L39*$S$14+M39*$S$15+N39*$S$16+O39*$S$17+P39*$S$18+Q39*$S$19)/S39)</f>
        <v>0</v>
      </c>
    </row>
    <row r="40" spans="1:20" x14ac:dyDescent="0.35">
      <c r="A40" s="44">
        <f>'Data Kriteria'!D14</f>
        <v>1</v>
      </c>
      <c r="B40" s="30">
        <f>'Data Kriteria'!B14</f>
        <v>0</v>
      </c>
      <c r="C40" s="41">
        <f>IF(OR(C30=1,$A$40=1),1,$A$40/C30)</f>
        <v>1</v>
      </c>
      <c r="D40" s="41">
        <f t="shared" ref="D40:Q40" si="29">IF(OR(D30=1,$A$40=1),1,$A$40/D30)</f>
        <v>1</v>
      </c>
      <c r="E40" s="41">
        <f t="shared" si="29"/>
        <v>1</v>
      </c>
      <c r="F40" s="41">
        <f t="shared" si="29"/>
        <v>1</v>
      </c>
      <c r="G40" s="41">
        <f t="shared" si="29"/>
        <v>1</v>
      </c>
      <c r="H40" s="41">
        <f t="shared" si="29"/>
        <v>1</v>
      </c>
      <c r="I40" s="41">
        <f t="shared" si="29"/>
        <v>1</v>
      </c>
      <c r="J40" s="41">
        <f t="shared" si="29"/>
        <v>1</v>
      </c>
      <c r="K40" s="41">
        <f t="shared" si="29"/>
        <v>1</v>
      </c>
      <c r="L40" s="41">
        <f t="shared" si="29"/>
        <v>1</v>
      </c>
      <c r="M40" s="41">
        <f t="shared" si="29"/>
        <v>1</v>
      </c>
      <c r="N40" s="41">
        <f t="shared" si="29"/>
        <v>1</v>
      </c>
      <c r="O40" s="41">
        <f t="shared" si="29"/>
        <v>1</v>
      </c>
      <c r="P40" s="41">
        <f t="shared" si="29"/>
        <v>1</v>
      </c>
      <c r="Q40" s="41">
        <f t="shared" si="29"/>
        <v>1</v>
      </c>
      <c r="R40" s="14">
        <f t="shared" si="21"/>
        <v>0</v>
      </c>
      <c r="S40" s="15">
        <f>IF(K31=0,0,R40/$R$47)</f>
        <v>0</v>
      </c>
      <c r="T40" s="14">
        <f t="shared" si="27"/>
        <v>0</v>
      </c>
    </row>
    <row r="41" spans="1:20" x14ac:dyDescent="0.35">
      <c r="A41" s="44">
        <f>'Data Kriteria'!D15</f>
        <v>1</v>
      </c>
      <c r="B41" s="30">
        <f>'Data Kriteria'!B15</f>
        <v>0</v>
      </c>
      <c r="C41" s="41">
        <f>IF(OR(C30=1,$A$41=1),1,$A$41/C30)</f>
        <v>1</v>
      </c>
      <c r="D41" s="41">
        <f t="shared" ref="D41:Q41" si="30">IF(OR(D30=1,$A$41=1),1,$A$41/D30)</f>
        <v>1</v>
      </c>
      <c r="E41" s="41">
        <f t="shared" si="30"/>
        <v>1</v>
      </c>
      <c r="F41" s="41">
        <f t="shared" si="30"/>
        <v>1</v>
      </c>
      <c r="G41" s="41">
        <f t="shared" si="30"/>
        <v>1</v>
      </c>
      <c r="H41" s="41">
        <f t="shared" si="30"/>
        <v>1</v>
      </c>
      <c r="I41" s="41">
        <f t="shared" si="30"/>
        <v>1</v>
      </c>
      <c r="J41" s="41">
        <f t="shared" si="30"/>
        <v>1</v>
      </c>
      <c r="K41" s="41">
        <f t="shared" si="30"/>
        <v>1</v>
      </c>
      <c r="L41" s="41">
        <f t="shared" si="30"/>
        <v>1</v>
      </c>
      <c r="M41" s="41">
        <f t="shared" si="30"/>
        <v>1</v>
      </c>
      <c r="N41" s="41">
        <f t="shared" si="30"/>
        <v>1</v>
      </c>
      <c r="O41" s="41">
        <f t="shared" si="30"/>
        <v>1</v>
      </c>
      <c r="P41" s="41">
        <f t="shared" si="30"/>
        <v>1</v>
      </c>
      <c r="Q41" s="41">
        <f t="shared" si="30"/>
        <v>1</v>
      </c>
      <c r="R41" s="14">
        <f t="shared" si="21"/>
        <v>0</v>
      </c>
      <c r="S41" s="15">
        <f>IF(L31=0,0,R41/$R$47)</f>
        <v>0</v>
      </c>
      <c r="T41" s="14">
        <f t="shared" si="27"/>
        <v>0</v>
      </c>
    </row>
    <row r="42" spans="1:20" x14ac:dyDescent="0.35">
      <c r="A42" s="44">
        <f>'Data Kriteria'!D16</f>
        <v>1</v>
      </c>
      <c r="B42" s="30">
        <f>'Data Kriteria'!B16</f>
        <v>0</v>
      </c>
      <c r="C42" s="41">
        <f>IF(OR(C30=1,$A$42=1),1,$A$42/C30)</f>
        <v>1</v>
      </c>
      <c r="D42" s="41">
        <f t="shared" ref="D42:Q42" si="31">IF(OR(D30=1,$A$42=1),1,$A$42/D30)</f>
        <v>1</v>
      </c>
      <c r="E42" s="41">
        <f t="shared" si="31"/>
        <v>1</v>
      </c>
      <c r="F42" s="41">
        <f t="shared" si="31"/>
        <v>1</v>
      </c>
      <c r="G42" s="41">
        <f t="shared" si="31"/>
        <v>1</v>
      </c>
      <c r="H42" s="41">
        <f t="shared" si="31"/>
        <v>1</v>
      </c>
      <c r="I42" s="41">
        <f t="shared" si="31"/>
        <v>1</v>
      </c>
      <c r="J42" s="41">
        <f t="shared" si="31"/>
        <v>1</v>
      </c>
      <c r="K42" s="41">
        <f t="shared" si="31"/>
        <v>1</v>
      </c>
      <c r="L42" s="41">
        <f t="shared" si="31"/>
        <v>1</v>
      </c>
      <c r="M42" s="41">
        <f t="shared" si="31"/>
        <v>1</v>
      </c>
      <c r="N42" s="41">
        <f t="shared" si="31"/>
        <v>1</v>
      </c>
      <c r="O42" s="41">
        <f t="shared" si="31"/>
        <v>1</v>
      </c>
      <c r="P42" s="41">
        <f t="shared" si="31"/>
        <v>1</v>
      </c>
      <c r="Q42" s="41">
        <f t="shared" si="31"/>
        <v>1</v>
      </c>
      <c r="R42" s="14">
        <f t="shared" si="21"/>
        <v>0</v>
      </c>
      <c r="S42" s="15">
        <f>IF(M31=0,0,R42/$R$47)</f>
        <v>0</v>
      </c>
      <c r="T42" s="14">
        <f t="shared" si="27"/>
        <v>0</v>
      </c>
    </row>
    <row r="43" spans="1:20" x14ac:dyDescent="0.35">
      <c r="A43" s="44">
        <f>'Data Kriteria'!D17</f>
        <v>1</v>
      </c>
      <c r="B43" s="30">
        <f>'Data Kriteria'!B17</f>
        <v>0</v>
      </c>
      <c r="C43" s="41">
        <f>IF(OR(C30=1,$A$43=1),1,$A$43/C30)</f>
        <v>1</v>
      </c>
      <c r="D43" s="41">
        <f t="shared" ref="D43:Q43" si="32">IF(OR(D30=1,$A$43=1),1,$A$43/D30)</f>
        <v>1</v>
      </c>
      <c r="E43" s="41">
        <f t="shared" si="32"/>
        <v>1</v>
      </c>
      <c r="F43" s="41">
        <f t="shared" si="32"/>
        <v>1</v>
      </c>
      <c r="G43" s="41">
        <f t="shared" si="32"/>
        <v>1</v>
      </c>
      <c r="H43" s="41">
        <f t="shared" si="32"/>
        <v>1</v>
      </c>
      <c r="I43" s="41">
        <f t="shared" si="32"/>
        <v>1</v>
      </c>
      <c r="J43" s="41">
        <f t="shared" si="32"/>
        <v>1</v>
      </c>
      <c r="K43" s="41">
        <f t="shared" si="32"/>
        <v>1</v>
      </c>
      <c r="L43" s="41">
        <f t="shared" si="32"/>
        <v>1</v>
      </c>
      <c r="M43" s="41">
        <f t="shared" si="32"/>
        <v>1</v>
      </c>
      <c r="N43" s="41">
        <f t="shared" si="32"/>
        <v>1</v>
      </c>
      <c r="O43" s="41">
        <f t="shared" si="32"/>
        <v>1</v>
      </c>
      <c r="P43" s="41">
        <f t="shared" si="32"/>
        <v>1</v>
      </c>
      <c r="Q43" s="41">
        <f t="shared" si="32"/>
        <v>1</v>
      </c>
      <c r="R43" s="14">
        <f t="shared" si="21"/>
        <v>0</v>
      </c>
      <c r="S43" s="15">
        <f>IF(N31=0,0,R43/$R$47)</f>
        <v>0</v>
      </c>
      <c r="T43" s="14">
        <f t="shared" si="27"/>
        <v>0</v>
      </c>
    </row>
    <row r="44" spans="1:20" x14ac:dyDescent="0.35">
      <c r="A44" s="44">
        <f>'Data Kriteria'!D18</f>
        <v>1</v>
      </c>
      <c r="B44" s="30">
        <f>'Data Kriteria'!B18</f>
        <v>0</v>
      </c>
      <c r="C44" s="41">
        <f>IF(OR(C30=1,$A$44=1),1,$A$44/C30)</f>
        <v>1</v>
      </c>
      <c r="D44" s="41">
        <f t="shared" ref="D44:Q44" si="33">IF(OR(D30=1,$A$44=1),1,$A$44/D30)</f>
        <v>1</v>
      </c>
      <c r="E44" s="41">
        <f t="shared" si="33"/>
        <v>1</v>
      </c>
      <c r="F44" s="41">
        <f t="shared" si="33"/>
        <v>1</v>
      </c>
      <c r="G44" s="41">
        <f t="shared" si="33"/>
        <v>1</v>
      </c>
      <c r="H44" s="41">
        <f t="shared" si="33"/>
        <v>1</v>
      </c>
      <c r="I44" s="41">
        <f t="shared" si="33"/>
        <v>1</v>
      </c>
      <c r="J44" s="41">
        <f t="shared" si="33"/>
        <v>1</v>
      </c>
      <c r="K44" s="41">
        <f t="shared" si="33"/>
        <v>1</v>
      </c>
      <c r="L44" s="41">
        <f t="shared" si="33"/>
        <v>1</v>
      </c>
      <c r="M44" s="41">
        <f t="shared" si="33"/>
        <v>1</v>
      </c>
      <c r="N44" s="41">
        <f t="shared" si="33"/>
        <v>1</v>
      </c>
      <c r="O44" s="41">
        <f t="shared" si="33"/>
        <v>1</v>
      </c>
      <c r="P44" s="41">
        <f t="shared" si="33"/>
        <v>1</v>
      </c>
      <c r="Q44" s="41">
        <f t="shared" si="33"/>
        <v>1</v>
      </c>
      <c r="R44" s="14">
        <f t="shared" si="21"/>
        <v>0</v>
      </c>
      <c r="S44" s="15">
        <f>IF(O31=0,0,R44/$R$47)</f>
        <v>0</v>
      </c>
      <c r="T44" s="14">
        <f t="shared" si="27"/>
        <v>0</v>
      </c>
    </row>
    <row r="45" spans="1:20" x14ac:dyDescent="0.35">
      <c r="A45" s="44">
        <f>'Data Kriteria'!D19</f>
        <v>1</v>
      </c>
      <c r="B45" s="30">
        <f>'Data Kriteria'!B19</f>
        <v>0</v>
      </c>
      <c r="C45" s="41">
        <f>IF(OR(C30=1,$A$45=1),1,$A$45/C30)</f>
        <v>1</v>
      </c>
      <c r="D45" s="41">
        <f t="shared" ref="D45:Q45" si="34">IF(OR(D30=1,$A$45=1),1,$A$45/D30)</f>
        <v>1</v>
      </c>
      <c r="E45" s="41">
        <f t="shared" si="34"/>
        <v>1</v>
      </c>
      <c r="F45" s="41">
        <f t="shared" si="34"/>
        <v>1</v>
      </c>
      <c r="G45" s="41">
        <f t="shared" si="34"/>
        <v>1</v>
      </c>
      <c r="H45" s="41">
        <f t="shared" si="34"/>
        <v>1</v>
      </c>
      <c r="I45" s="41">
        <f t="shared" si="34"/>
        <v>1</v>
      </c>
      <c r="J45" s="41">
        <f t="shared" si="34"/>
        <v>1</v>
      </c>
      <c r="K45" s="41">
        <f t="shared" si="34"/>
        <v>1</v>
      </c>
      <c r="L45" s="41">
        <f t="shared" si="34"/>
        <v>1</v>
      </c>
      <c r="M45" s="41">
        <f t="shared" si="34"/>
        <v>1</v>
      </c>
      <c r="N45" s="41">
        <f t="shared" si="34"/>
        <v>1</v>
      </c>
      <c r="O45" s="41">
        <f t="shared" si="34"/>
        <v>1</v>
      </c>
      <c r="P45" s="41">
        <f t="shared" si="34"/>
        <v>1</v>
      </c>
      <c r="Q45" s="41">
        <f t="shared" si="34"/>
        <v>1</v>
      </c>
      <c r="R45" s="14">
        <f t="shared" si="21"/>
        <v>0</v>
      </c>
      <c r="S45" s="15">
        <f>IF(P31=0,0,R45/$R$47)</f>
        <v>0</v>
      </c>
      <c r="T45" s="14">
        <f t="shared" si="27"/>
        <v>0</v>
      </c>
    </row>
    <row r="46" spans="1:20" x14ac:dyDescent="0.35">
      <c r="A46" s="44">
        <f>'Data Kriteria'!D20</f>
        <v>1</v>
      </c>
      <c r="B46" s="30">
        <f>'Data Kriteria'!B20</f>
        <v>0</v>
      </c>
      <c r="C46" s="41">
        <f>IF(OR(C30=1,$A$46=1),1,$A$46/C30)</f>
        <v>1</v>
      </c>
      <c r="D46" s="41">
        <f t="shared" ref="D46:Q46" si="35">IF(OR(D30=1,$A$46=1),1,$A$46/D30)</f>
        <v>1</v>
      </c>
      <c r="E46" s="41">
        <f t="shared" si="35"/>
        <v>1</v>
      </c>
      <c r="F46" s="41">
        <f t="shared" si="35"/>
        <v>1</v>
      </c>
      <c r="G46" s="41">
        <f t="shared" si="35"/>
        <v>1</v>
      </c>
      <c r="H46" s="41">
        <f t="shared" si="35"/>
        <v>1</v>
      </c>
      <c r="I46" s="41">
        <f t="shared" si="35"/>
        <v>1</v>
      </c>
      <c r="J46" s="41">
        <f t="shared" si="35"/>
        <v>1</v>
      </c>
      <c r="K46" s="41">
        <f t="shared" si="35"/>
        <v>1</v>
      </c>
      <c r="L46" s="41">
        <f t="shared" si="35"/>
        <v>1</v>
      </c>
      <c r="M46" s="41">
        <f t="shared" si="35"/>
        <v>1</v>
      </c>
      <c r="N46" s="41">
        <f t="shared" si="35"/>
        <v>1</v>
      </c>
      <c r="O46" s="41">
        <f t="shared" si="35"/>
        <v>1</v>
      </c>
      <c r="P46" s="41">
        <f t="shared" si="35"/>
        <v>1</v>
      </c>
      <c r="Q46" s="41">
        <f t="shared" si="35"/>
        <v>1</v>
      </c>
      <c r="R46" s="14">
        <f t="shared" si="21"/>
        <v>0</v>
      </c>
      <c r="S46" s="15">
        <f>IF(Q31=0,0,R46/$R$47)</f>
        <v>0</v>
      </c>
      <c r="T46" s="14">
        <f t="shared" si="27"/>
        <v>0</v>
      </c>
    </row>
    <row r="47" spans="1:20" x14ac:dyDescent="0.35">
      <c r="R47" s="14">
        <f>SUM(R32:R46)</f>
        <v>0</v>
      </c>
      <c r="S47" s="14">
        <f>SUM(S32:S46)</f>
        <v>0</v>
      </c>
      <c r="T47" s="15">
        <f>MAX(T32:T46)</f>
        <v>0</v>
      </c>
    </row>
    <row r="49" spans="1:20" ht="15" thickBot="1" x14ac:dyDescent="0.4">
      <c r="S49" s="5" t="s">
        <v>49</v>
      </c>
      <c r="T49" s="16">
        <f>T47</f>
        <v>0</v>
      </c>
    </row>
    <row r="50" spans="1:20" ht="15" thickBot="1" x14ac:dyDescent="0.4">
      <c r="B50" s="4" t="s">
        <v>38</v>
      </c>
      <c r="C50" s="4"/>
      <c r="D50" s="4"/>
      <c r="E50" s="42">
        <f>E23</f>
        <v>0</v>
      </c>
      <c r="S50" s="6" t="s">
        <v>39</v>
      </c>
      <c r="T50" s="3">
        <f>(T49-E50)/(E50-1)</f>
        <v>0</v>
      </c>
    </row>
    <row r="51" spans="1:20" x14ac:dyDescent="0.35">
      <c r="S51" s="6" t="s">
        <v>40</v>
      </c>
      <c r="T51" s="57" t="b">
        <f>IF(E50=E52,E53,IF(E50=F52,F53,IF(E50=G52,G53,IF(E50=H52,H53,IF(E50=I52,I53,IF(E50=J52,J53,IF(E50=K52,K53,IF(E50=L52,L53,IF(E50=M52,M53,IF(E50=N52,N53,IF(E50=O52,O53,IF(E50=P52,P53,IF(E50=Q52,Q53)))))))))))))</f>
        <v>0</v>
      </c>
    </row>
    <row r="52" spans="1:20" x14ac:dyDescent="0.35">
      <c r="B52" s="2" t="s">
        <v>41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S52" s="6" t="s">
        <v>42</v>
      </c>
      <c r="T52" s="16" t="e">
        <f>T50/T51</f>
        <v>#DIV/0!</v>
      </c>
    </row>
    <row r="53" spans="1:20" x14ac:dyDescent="0.35">
      <c r="B53" s="2" t="s">
        <v>40</v>
      </c>
      <c r="C53" s="87">
        <v>0</v>
      </c>
      <c r="D53" s="87">
        <v>0</v>
      </c>
      <c r="E53" s="87">
        <v>0.57999999999999996</v>
      </c>
      <c r="F53" s="87">
        <v>0.9</v>
      </c>
      <c r="G53" s="87">
        <v>1.1200000000000001</v>
      </c>
      <c r="H53" s="87">
        <v>1.24</v>
      </c>
      <c r="I53" s="87">
        <v>1.32</v>
      </c>
      <c r="J53" s="87">
        <v>1.41</v>
      </c>
      <c r="K53" s="87">
        <v>1.45</v>
      </c>
      <c r="L53" s="87">
        <v>1.49</v>
      </c>
      <c r="M53" s="87">
        <v>1.51</v>
      </c>
      <c r="N53" s="87">
        <v>1.54</v>
      </c>
      <c r="O53" s="87">
        <v>1.56</v>
      </c>
      <c r="P53" s="87">
        <v>1.57</v>
      </c>
      <c r="Q53" s="87">
        <v>1.58</v>
      </c>
    </row>
    <row r="54" spans="1:20" x14ac:dyDescent="0.35">
      <c r="S54" s="6" t="s">
        <v>43</v>
      </c>
      <c r="T54" s="1" t="s">
        <v>44</v>
      </c>
    </row>
    <row r="55" spans="1:20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x14ac:dyDescent="0.35">
      <c r="A56" s="46" t="s">
        <v>46</v>
      </c>
      <c r="B56" s="88">
        <f>'Data Kriteria'!E5</f>
        <v>0</v>
      </c>
    </row>
    <row r="57" spans="1:20" x14ac:dyDescent="0.35">
      <c r="C57" s="44" cm="1">
        <f t="array" ref="C57:Q57">TRANSPOSE(A59:A73)</f>
        <v>1</v>
      </c>
      <c r="D57" s="44">
        <v>1</v>
      </c>
      <c r="E57" s="44">
        <v>1</v>
      </c>
      <c r="F57" s="44">
        <v>1</v>
      </c>
      <c r="G57" s="44">
        <v>1</v>
      </c>
      <c r="H57" s="44">
        <v>1</v>
      </c>
      <c r="I57" s="44">
        <v>1</v>
      </c>
      <c r="J57" s="44">
        <v>1</v>
      </c>
      <c r="K57" s="44">
        <v>1</v>
      </c>
      <c r="L57" s="44">
        <v>1</v>
      </c>
      <c r="M57" s="44">
        <v>1</v>
      </c>
      <c r="N57" s="44">
        <v>1</v>
      </c>
      <c r="O57" s="44">
        <v>1</v>
      </c>
      <c r="P57" s="44">
        <v>1</v>
      </c>
      <c r="Q57" s="44">
        <v>1</v>
      </c>
    </row>
    <row r="58" spans="1:20" x14ac:dyDescent="0.35">
      <c r="B58" s="10">
        <v>3</v>
      </c>
      <c r="C58" s="30" cm="1">
        <f t="array" ref="C58:Q58">TRANSPOSE(B59:B73)</f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43">
        <v>0</v>
      </c>
      <c r="R58" s="45" t="s">
        <v>47</v>
      </c>
      <c r="S58" s="45" t="s">
        <v>35</v>
      </c>
      <c r="T58" s="45" t="s">
        <v>48</v>
      </c>
    </row>
    <row r="59" spans="1:20" x14ac:dyDescent="0.35">
      <c r="A59" s="44">
        <f>'Data Kriteria'!E6</f>
        <v>1</v>
      </c>
      <c r="B59" s="30">
        <f>'Data Kriteria'!B6</f>
        <v>0</v>
      </c>
      <c r="C59" s="81">
        <f>IF(OR(C57=1,$A$59=1),1,$A$59/C57)</f>
        <v>1</v>
      </c>
      <c r="D59" s="81">
        <f t="shared" ref="D59:Q59" si="36">IF(OR(D57=1,$A$59=1),1,$A$59/D57)</f>
        <v>1</v>
      </c>
      <c r="E59" s="81">
        <f t="shared" si="36"/>
        <v>1</v>
      </c>
      <c r="F59" s="81">
        <f t="shared" si="36"/>
        <v>1</v>
      </c>
      <c r="G59" s="81">
        <f t="shared" si="36"/>
        <v>1</v>
      </c>
      <c r="H59" s="81">
        <f t="shared" si="36"/>
        <v>1</v>
      </c>
      <c r="I59" s="81">
        <f t="shared" si="36"/>
        <v>1</v>
      </c>
      <c r="J59" s="81">
        <f t="shared" si="36"/>
        <v>1</v>
      </c>
      <c r="K59" s="81">
        <f t="shared" si="36"/>
        <v>1</v>
      </c>
      <c r="L59" s="81">
        <f t="shared" si="36"/>
        <v>1</v>
      </c>
      <c r="M59" s="81">
        <f t="shared" si="36"/>
        <v>1</v>
      </c>
      <c r="N59" s="81">
        <f t="shared" si="36"/>
        <v>1</v>
      </c>
      <c r="O59" s="81">
        <f t="shared" si="36"/>
        <v>1</v>
      </c>
      <c r="P59" s="81">
        <f t="shared" si="36"/>
        <v>1</v>
      </c>
      <c r="Q59" s="81">
        <f t="shared" si="36"/>
        <v>1</v>
      </c>
      <c r="R59" s="14">
        <f>IF(A59=1,0,(C59*D59*E59*F59*G59*H59*I59*J59*K59*L59*M59*N59*O59*P59*Q59)^(1/$E$77))</f>
        <v>0</v>
      </c>
      <c r="S59" s="15">
        <f>IF(C58=0,0,R59/$R$74)</f>
        <v>0</v>
      </c>
      <c r="T59" s="14">
        <f>IF(A59=1,0,(C59*$S$59+D59*$S$60+E59*$S$61+F59*$S$62+G59*$S$63+H59*$S$64+I59*$S$65+J59*$S$66+K59*$S$67+L59*$S$68+M59*$S$69+N59*$S$70+O59*$S$71+P59*$S$72+Q59*$S$73)/S59)</f>
        <v>0</v>
      </c>
    </row>
    <row r="60" spans="1:20" x14ac:dyDescent="0.35">
      <c r="A60" s="44">
        <f>'Data Kriteria'!E7</f>
        <v>1</v>
      </c>
      <c r="B60" s="30">
        <f>'Data Kriteria'!B7</f>
        <v>0</v>
      </c>
      <c r="C60" s="81">
        <f>IF(OR(C57=1,$A$60=1),1,$A$60/C57)</f>
        <v>1</v>
      </c>
      <c r="D60" s="81">
        <f t="shared" ref="D60:Q60" si="37">IF(OR(D57=1,$A$60=1),1,$A$60/D57)</f>
        <v>1</v>
      </c>
      <c r="E60" s="81">
        <f t="shared" si="37"/>
        <v>1</v>
      </c>
      <c r="F60" s="81">
        <f t="shared" si="37"/>
        <v>1</v>
      </c>
      <c r="G60" s="81">
        <f t="shared" si="37"/>
        <v>1</v>
      </c>
      <c r="H60" s="81">
        <f t="shared" si="37"/>
        <v>1</v>
      </c>
      <c r="I60" s="81">
        <f t="shared" si="37"/>
        <v>1</v>
      </c>
      <c r="J60" s="81">
        <f t="shared" si="37"/>
        <v>1</v>
      </c>
      <c r="K60" s="81">
        <f t="shared" si="37"/>
        <v>1</v>
      </c>
      <c r="L60" s="81">
        <f t="shared" si="37"/>
        <v>1</v>
      </c>
      <c r="M60" s="81">
        <f t="shared" si="37"/>
        <v>1</v>
      </c>
      <c r="N60" s="81">
        <f t="shared" si="37"/>
        <v>1</v>
      </c>
      <c r="O60" s="81">
        <f t="shared" si="37"/>
        <v>1</v>
      </c>
      <c r="P60" s="81">
        <f t="shared" si="37"/>
        <v>1</v>
      </c>
      <c r="Q60" s="81">
        <f t="shared" si="37"/>
        <v>1</v>
      </c>
      <c r="R60" s="14">
        <f t="shared" ref="R60:R73" si="38">IF(A60=1,0,(C60*D60*E60*F60*G60*H60*I60*J60*K60*L60*M60*N60*O60*P60*Q60)^(1/$E$77))</f>
        <v>0</v>
      </c>
      <c r="S60" s="15">
        <f>IF(D58=0,0,R60/$R$74)</f>
        <v>0</v>
      </c>
      <c r="T60" s="14">
        <f t="shared" ref="T60:T73" si="39">IF(A60=1,0,(C60*$S$59+D60*$S$60+E60*$S$61+F60*$S$62+G60*$S$63+H60*$S$64+I60*$S$65+J60*$S$66+K60*$S$67+L60*$S$68+M60*$S$69+N60*$S$70+O60*$S$71+P60*$S$72+Q60*$S$73)/S60)</f>
        <v>0</v>
      </c>
    </row>
    <row r="61" spans="1:20" x14ac:dyDescent="0.35">
      <c r="A61" s="44">
        <f>'Data Kriteria'!E8</f>
        <v>1</v>
      </c>
      <c r="B61" s="30">
        <f>'Data Kriteria'!B8</f>
        <v>0</v>
      </c>
      <c r="C61" s="81">
        <f>IF(OR(C57=1,$A$61=1),1,$A$61/C57)</f>
        <v>1</v>
      </c>
      <c r="D61" s="81">
        <f t="shared" ref="D61:Q61" si="40">IF(OR(D57=1,$A$61=1),1,$A$61/D57)</f>
        <v>1</v>
      </c>
      <c r="E61" s="81">
        <f t="shared" si="40"/>
        <v>1</v>
      </c>
      <c r="F61" s="81">
        <f t="shared" si="40"/>
        <v>1</v>
      </c>
      <c r="G61" s="81">
        <f t="shared" si="40"/>
        <v>1</v>
      </c>
      <c r="H61" s="81">
        <f t="shared" si="40"/>
        <v>1</v>
      </c>
      <c r="I61" s="81">
        <f t="shared" si="40"/>
        <v>1</v>
      </c>
      <c r="J61" s="81">
        <f t="shared" si="40"/>
        <v>1</v>
      </c>
      <c r="K61" s="81">
        <f t="shared" si="40"/>
        <v>1</v>
      </c>
      <c r="L61" s="81">
        <f t="shared" si="40"/>
        <v>1</v>
      </c>
      <c r="M61" s="81">
        <f t="shared" si="40"/>
        <v>1</v>
      </c>
      <c r="N61" s="81">
        <f t="shared" si="40"/>
        <v>1</v>
      </c>
      <c r="O61" s="81">
        <f t="shared" si="40"/>
        <v>1</v>
      </c>
      <c r="P61" s="81">
        <f t="shared" si="40"/>
        <v>1</v>
      </c>
      <c r="Q61" s="81">
        <f t="shared" si="40"/>
        <v>1</v>
      </c>
      <c r="R61" s="14">
        <f t="shared" si="38"/>
        <v>0</v>
      </c>
      <c r="S61" s="15">
        <f>IF(E58=0,0,R61/$R$74)</f>
        <v>0</v>
      </c>
      <c r="T61" s="14">
        <f t="shared" si="39"/>
        <v>0</v>
      </c>
    </row>
    <row r="62" spans="1:20" x14ac:dyDescent="0.35">
      <c r="A62" s="44">
        <f>'Data Kriteria'!E9</f>
        <v>1</v>
      </c>
      <c r="B62" s="30">
        <f>'Data Kriteria'!B9</f>
        <v>0</v>
      </c>
      <c r="C62" s="81">
        <f>IF(OR(C57=1,$A$62=1),1,$A$62/C57)</f>
        <v>1</v>
      </c>
      <c r="D62" s="81">
        <f t="shared" ref="D62:Q62" si="41">IF(OR(D57=1,$A$62=1),1,$A$62/D57)</f>
        <v>1</v>
      </c>
      <c r="E62" s="81">
        <f t="shared" si="41"/>
        <v>1</v>
      </c>
      <c r="F62" s="81">
        <f t="shared" si="41"/>
        <v>1</v>
      </c>
      <c r="G62" s="81">
        <f t="shared" si="41"/>
        <v>1</v>
      </c>
      <c r="H62" s="81">
        <f t="shared" si="41"/>
        <v>1</v>
      </c>
      <c r="I62" s="81">
        <f t="shared" si="41"/>
        <v>1</v>
      </c>
      <c r="J62" s="81">
        <f t="shared" si="41"/>
        <v>1</v>
      </c>
      <c r="K62" s="81">
        <f t="shared" si="41"/>
        <v>1</v>
      </c>
      <c r="L62" s="81">
        <f t="shared" si="41"/>
        <v>1</v>
      </c>
      <c r="M62" s="81">
        <f t="shared" si="41"/>
        <v>1</v>
      </c>
      <c r="N62" s="81">
        <f t="shared" si="41"/>
        <v>1</v>
      </c>
      <c r="O62" s="81">
        <f t="shared" si="41"/>
        <v>1</v>
      </c>
      <c r="P62" s="81">
        <f t="shared" si="41"/>
        <v>1</v>
      </c>
      <c r="Q62" s="81">
        <f t="shared" si="41"/>
        <v>1</v>
      </c>
      <c r="R62" s="14">
        <f t="shared" si="38"/>
        <v>0</v>
      </c>
      <c r="S62" s="15">
        <f>IF(F58=0,0,R62/$R$74)</f>
        <v>0</v>
      </c>
      <c r="T62" s="14">
        <f t="shared" si="39"/>
        <v>0</v>
      </c>
    </row>
    <row r="63" spans="1:20" x14ac:dyDescent="0.35">
      <c r="A63" s="44">
        <f>'Data Kriteria'!E10</f>
        <v>1</v>
      </c>
      <c r="B63" s="30">
        <f>'Data Kriteria'!B10</f>
        <v>0</v>
      </c>
      <c r="C63" s="81">
        <f>IF(OR(C57=1,$A$63=1),1,$A$63/C57)</f>
        <v>1</v>
      </c>
      <c r="D63" s="81">
        <f t="shared" ref="D63:Q63" si="42">IF(OR(D57=1,$A$63=1),1,$A$63/D57)</f>
        <v>1</v>
      </c>
      <c r="E63" s="81">
        <f t="shared" si="42"/>
        <v>1</v>
      </c>
      <c r="F63" s="81">
        <f t="shared" si="42"/>
        <v>1</v>
      </c>
      <c r="G63" s="81">
        <f t="shared" si="42"/>
        <v>1</v>
      </c>
      <c r="H63" s="81">
        <f t="shared" si="42"/>
        <v>1</v>
      </c>
      <c r="I63" s="81">
        <f t="shared" si="42"/>
        <v>1</v>
      </c>
      <c r="J63" s="81">
        <f t="shared" si="42"/>
        <v>1</v>
      </c>
      <c r="K63" s="81">
        <f t="shared" si="42"/>
        <v>1</v>
      </c>
      <c r="L63" s="81">
        <f t="shared" si="42"/>
        <v>1</v>
      </c>
      <c r="M63" s="81">
        <f t="shared" si="42"/>
        <v>1</v>
      </c>
      <c r="N63" s="81">
        <f t="shared" si="42"/>
        <v>1</v>
      </c>
      <c r="O63" s="81">
        <f t="shared" si="42"/>
        <v>1</v>
      </c>
      <c r="P63" s="81">
        <f t="shared" si="42"/>
        <v>1</v>
      </c>
      <c r="Q63" s="81">
        <f t="shared" si="42"/>
        <v>1</v>
      </c>
      <c r="R63" s="14">
        <f t="shared" si="38"/>
        <v>0</v>
      </c>
      <c r="S63" s="15">
        <f>IF(G58=0,0,R63/$R$74)</f>
        <v>0</v>
      </c>
      <c r="T63" s="14">
        <f t="shared" si="39"/>
        <v>0</v>
      </c>
    </row>
    <row r="64" spans="1:20" x14ac:dyDescent="0.35">
      <c r="A64" s="44">
        <f>'Data Kriteria'!E11</f>
        <v>1</v>
      </c>
      <c r="B64" s="30">
        <f>'Data Kriteria'!B11</f>
        <v>0</v>
      </c>
      <c r="C64" s="81">
        <f>IF(OR(C57=1,$A$64=1),1,$A$64/C57)</f>
        <v>1</v>
      </c>
      <c r="D64" s="81">
        <f t="shared" ref="D64:Q64" si="43">IF(OR(D57=1,$A$64=1),1,$A$64/D57)</f>
        <v>1</v>
      </c>
      <c r="E64" s="81">
        <f t="shared" si="43"/>
        <v>1</v>
      </c>
      <c r="F64" s="81">
        <f t="shared" si="43"/>
        <v>1</v>
      </c>
      <c r="G64" s="81">
        <f t="shared" si="43"/>
        <v>1</v>
      </c>
      <c r="H64" s="81">
        <f t="shared" si="43"/>
        <v>1</v>
      </c>
      <c r="I64" s="81">
        <f t="shared" si="43"/>
        <v>1</v>
      </c>
      <c r="J64" s="81">
        <f t="shared" si="43"/>
        <v>1</v>
      </c>
      <c r="K64" s="81">
        <f t="shared" si="43"/>
        <v>1</v>
      </c>
      <c r="L64" s="81">
        <f t="shared" si="43"/>
        <v>1</v>
      </c>
      <c r="M64" s="81">
        <f t="shared" si="43"/>
        <v>1</v>
      </c>
      <c r="N64" s="81">
        <f t="shared" si="43"/>
        <v>1</v>
      </c>
      <c r="O64" s="81">
        <f t="shared" si="43"/>
        <v>1</v>
      </c>
      <c r="P64" s="81">
        <f t="shared" si="43"/>
        <v>1</v>
      </c>
      <c r="Q64" s="81">
        <f t="shared" si="43"/>
        <v>1</v>
      </c>
      <c r="R64" s="14">
        <f t="shared" si="38"/>
        <v>0</v>
      </c>
      <c r="S64" s="15">
        <f>IF(H58=0,0,R64/$R$74)</f>
        <v>0</v>
      </c>
      <c r="T64" s="14">
        <f t="shared" si="39"/>
        <v>0</v>
      </c>
    </row>
    <row r="65" spans="1:20" x14ac:dyDescent="0.35">
      <c r="A65" s="44">
        <f>'Data Kriteria'!E12</f>
        <v>1</v>
      </c>
      <c r="B65" s="30">
        <f>'Data Kriteria'!B12</f>
        <v>0</v>
      </c>
      <c r="C65" s="81">
        <f>IF(OR(C57=1,$A$65=1),1,$A$65/C57)</f>
        <v>1</v>
      </c>
      <c r="D65" s="81">
        <f t="shared" ref="D65:Q65" si="44">IF(OR(D57=1,$A$65=1),1,$A$65/D57)</f>
        <v>1</v>
      </c>
      <c r="E65" s="81">
        <f t="shared" si="44"/>
        <v>1</v>
      </c>
      <c r="F65" s="81">
        <f t="shared" si="44"/>
        <v>1</v>
      </c>
      <c r="G65" s="81">
        <f t="shared" si="44"/>
        <v>1</v>
      </c>
      <c r="H65" s="81">
        <f t="shared" si="44"/>
        <v>1</v>
      </c>
      <c r="I65" s="81">
        <f t="shared" si="44"/>
        <v>1</v>
      </c>
      <c r="J65" s="81">
        <f t="shared" si="44"/>
        <v>1</v>
      </c>
      <c r="K65" s="81">
        <f t="shared" si="44"/>
        <v>1</v>
      </c>
      <c r="L65" s="81">
        <f t="shared" si="44"/>
        <v>1</v>
      </c>
      <c r="M65" s="81">
        <f t="shared" si="44"/>
        <v>1</v>
      </c>
      <c r="N65" s="81">
        <f t="shared" si="44"/>
        <v>1</v>
      </c>
      <c r="O65" s="81">
        <f t="shared" si="44"/>
        <v>1</v>
      </c>
      <c r="P65" s="81">
        <f t="shared" si="44"/>
        <v>1</v>
      </c>
      <c r="Q65" s="81">
        <f t="shared" si="44"/>
        <v>1</v>
      </c>
      <c r="R65" s="14">
        <f t="shared" si="38"/>
        <v>0</v>
      </c>
      <c r="S65" s="15">
        <f>IF(I58=0,0,R65/$R$74)</f>
        <v>0</v>
      </c>
      <c r="T65" s="14">
        <f t="shared" si="39"/>
        <v>0</v>
      </c>
    </row>
    <row r="66" spans="1:20" x14ac:dyDescent="0.35">
      <c r="A66" s="44">
        <f>'Data Kriteria'!E13</f>
        <v>1</v>
      </c>
      <c r="B66" s="30">
        <f>'Data Kriteria'!B13</f>
        <v>0</v>
      </c>
      <c r="C66" s="81">
        <f>IF(OR(C57=1,$A$66=1),1,$A$66/C57)</f>
        <v>1</v>
      </c>
      <c r="D66" s="81">
        <f t="shared" ref="D66:Q66" si="45">IF(OR(D57=1,$A$66=1),1,$A$66/D57)</f>
        <v>1</v>
      </c>
      <c r="E66" s="81">
        <f t="shared" si="45"/>
        <v>1</v>
      </c>
      <c r="F66" s="81">
        <f t="shared" si="45"/>
        <v>1</v>
      </c>
      <c r="G66" s="81">
        <f t="shared" si="45"/>
        <v>1</v>
      </c>
      <c r="H66" s="81">
        <f t="shared" si="45"/>
        <v>1</v>
      </c>
      <c r="I66" s="81">
        <f t="shared" si="45"/>
        <v>1</v>
      </c>
      <c r="J66" s="81">
        <f t="shared" si="45"/>
        <v>1</v>
      </c>
      <c r="K66" s="81">
        <f t="shared" si="45"/>
        <v>1</v>
      </c>
      <c r="L66" s="81">
        <f t="shared" si="45"/>
        <v>1</v>
      </c>
      <c r="M66" s="81">
        <f t="shared" si="45"/>
        <v>1</v>
      </c>
      <c r="N66" s="81">
        <f t="shared" si="45"/>
        <v>1</v>
      </c>
      <c r="O66" s="81">
        <f t="shared" si="45"/>
        <v>1</v>
      </c>
      <c r="P66" s="81">
        <f t="shared" si="45"/>
        <v>1</v>
      </c>
      <c r="Q66" s="81">
        <f t="shared" si="45"/>
        <v>1</v>
      </c>
      <c r="R66" s="14">
        <f t="shared" si="38"/>
        <v>0</v>
      </c>
      <c r="S66" s="15">
        <f>IF(J58=0,0,R66/$R$74)</f>
        <v>0</v>
      </c>
      <c r="T66" s="14">
        <f t="shared" si="39"/>
        <v>0</v>
      </c>
    </row>
    <row r="67" spans="1:20" x14ac:dyDescent="0.35">
      <c r="A67" s="44">
        <f>'Data Kriteria'!E14</f>
        <v>1</v>
      </c>
      <c r="B67" s="30">
        <f>'Data Kriteria'!B14</f>
        <v>0</v>
      </c>
      <c r="C67" s="81">
        <f>IF(OR(C57=1,$A$67=1),1,$A$67/C57)</f>
        <v>1</v>
      </c>
      <c r="D67" s="81">
        <f t="shared" ref="D67:Q67" si="46">IF(OR(D57=1,$A$67=1),1,$A$67/D57)</f>
        <v>1</v>
      </c>
      <c r="E67" s="81">
        <f t="shared" si="46"/>
        <v>1</v>
      </c>
      <c r="F67" s="81">
        <f t="shared" si="46"/>
        <v>1</v>
      </c>
      <c r="G67" s="81">
        <f t="shared" si="46"/>
        <v>1</v>
      </c>
      <c r="H67" s="81">
        <f t="shared" si="46"/>
        <v>1</v>
      </c>
      <c r="I67" s="81">
        <f t="shared" si="46"/>
        <v>1</v>
      </c>
      <c r="J67" s="81">
        <f t="shared" si="46"/>
        <v>1</v>
      </c>
      <c r="K67" s="81">
        <f t="shared" si="46"/>
        <v>1</v>
      </c>
      <c r="L67" s="81">
        <f t="shared" si="46"/>
        <v>1</v>
      </c>
      <c r="M67" s="81">
        <f t="shared" si="46"/>
        <v>1</v>
      </c>
      <c r="N67" s="81">
        <f t="shared" si="46"/>
        <v>1</v>
      </c>
      <c r="O67" s="81">
        <f t="shared" si="46"/>
        <v>1</v>
      </c>
      <c r="P67" s="81">
        <f t="shared" si="46"/>
        <v>1</v>
      </c>
      <c r="Q67" s="81">
        <f t="shared" si="46"/>
        <v>1</v>
      </c>
      <c r="R67" s="14">
        <f t="shared" si="38"/>
        <v>0</v>
      </c>
      <c r="S67" s="15">
        <f>IF(K58=0,0,R67/$R$74)</f>
        <v>0</v>
      </c>
      <c r="T67" s="14">
        <f t="shared" si="39"/>
        <v>0</v>
      </c>
    </row>
    <row r="68" spans="1:20" x14ac:dyDescent="0.35">
      <c r="A68" s="44">
        <f>'Data Kriteria'!E15</f>
        <v>1</v>
      </c>
      <c r="B68" s="30">
        <f>'Data Kriteria'!B15</f>
        <v>0</v>
      </c>
      <c r="C68" s="81">
        <f>IF(OR(C57=1,$A$68=1),1,$A$68/C57)</f>
        <v>1</v>
      </c>
      <c r="D68" s="81">
        <f t="shared" ref="D68:Q68" si="47">IF(OR(D57=1,$A$68=1),1,$A$68/D57)</f>
        <v>1</v>
      </c>
      <c r="E68" s="81">
        <f t="shared" si="47"/>
        <v>1</v>
      </c>
      <c r="F68" s="81">
        <f t="shared" si="47"/>
        <v>1</v>
      </c>
      <c r="G68" s="81">
        <f t="shared" si="47"/>
        <v>1</v>
      </c>
      <c r="H68" s="81">
        <f t="shared" si="47"/>
        <v>1</v>
      </c>
      <c r="I68" s="81">
        <f t="shared" si="47"/>
        <v>1</v>
      </c>
      <c r="J68" s="81">
        <f t="shared" si="47"/>
        <v>1</v>
      </c>
      <c r="K68" s="81">
        <f t="shared" si="47"/>
        <v>1</v>
      </c>
      <c r="L68" s="81">
        <f t="shared" si="47"/>
        <v>1</v>
      </c>
      <c r="M68" s="81">
        <f t="shared" si="47"/>
        <v>1</v>
      </c>
      <c r="N68" s="81">
        <f t="shared" si="47"/>
        <v>1</v>
      </c>
      <c r="O68" s="81">
        <f t="shared" si="47"/>
        <v>1</v>
      </c>
      <c r="P68" s="81">
        <f t="shared" si="47"/>
        <v>1</v>
      </c>
      <c r="Q68" s="81">
        <f t="shared" si="47"/>
        <v>1</v>
      </c>
      <c r="R68" s="14">
        <f t="shared" si="38"/>
        <v>0</v>
      </c>
      <c r="S68" s="15">
        <f>IF(L58=0,0,R68/$R$74)</f>
        <v>0</v>
      </c>
      <c r="T68" s="14">
        <f t="shared" si="39"/>
        <v>0</v>
      </c>
    </row>
    <row r="69" spans="1:20" x14ac:dyDescent="0.35">
      <c r="A69" s="44">
        <f>'Data Kriteria'!E16</f>
        <v>1</v>
      </c>
      <c r="B69" s="30">
        <f>'Data Kriteria'!B16</f>
        <v>0</v>
      </c>
      <c r="C69" s="81">
        <f>IF(OR(C57=1,$A$69=1),1,$A$69/C57)</f>
        <v>1</v>
      </c>
      <c r="D69" s="81">
        <f t="shared" ref="D69:Q69" si="48">IF(OR(D57=1,$A$69=1),1,$A$69/D57)</f>
        <v>1</v>
      </c>
      <c r="E69" s="81">
        <f t="shared" si="48"/>
        <v>1</v>
      </c>
      <c r="F69" s="81">
        <f t="shared" si="48"/>
        <v>1</v>
      </c>
      <c r="G69" s="81">
        <f t="shared" si="48"/>
        <v>1</v>
      </c>
      <c r="H69" s="81">
        <f t="shared" si="48"/>
        <v>1</v>
      </c>
      <c r="I69" s="81">
        <f t="shared" si="48"/>
        <v>1</v>
      </c>
      <c r="J69" s="81">
        <f t="shared" si="48"/>
        <v>1</v>
      </c>
      <c r="K69" s="81">
        <f t="shared" si="48"/>
        <v>1</v>
      </c>
      <c r="L69" s="81">
        <f t="shared" si="48"/>
        <v>1</v>
      </c>
      <c r="M69" s="81">
        <f t="shared" si="48"/>
        <v>1</v>
      </c>
      <c r="N69" s="81">
        <f t="shared" si="48"/>
        <v>1</v>
      </c>
      <c r="O69" s="81">
        <f t="shared" si="48"/>
        <v>1</v>
      </c>
      <c r="P69" s="81">
        <f t="shared" si="48"/>
        <v>1</v>
      </c>
      <c r="Q69" s="81">
        <f t="shared" si="48"/>
        <v>1</v>
      </c>
      <c r="R69" s="14">
        <f t="shared" si="38"/>
        <v>0</v>
      </c>
      <c r="S69" s="15">
        <f>IF(M58=0,0,R69/$R$74)</f>
        <v>0</v>
      </c>
      <c r="T69" s="14">
        <f t="shared" si="39"/>
        <v>0</v>
      </c>
    </row>
    <row r="70" spans="1:20" x14ac:dyDescent="0.35">
      <c r="A70" s="44">
        <f>'Data Kriteria'!E17</f>
        <v>1</v>
      </c>
      <c r="B70" s="30">
        <f>'Data Kriteria'!B17</f>
        <v>0</v>
      </c>
      <c r="C70" s="81">
        <f>IF(OR(C57=1,$A$70=1),1,$A$70/C57)</f>
        <v>1</v>
      </c>
      <c r="D70" s="81">
        <f t="shared" ref="D70:Q70" si="49">IF(OR(D57=1,$A$70=1),1,$A$70/D57)</f>
        <v>1</v>
      </c>
      <c r="E70" s="81">
        <f t="shared" si="49"/>
        <v>1</v>
      </c>
      <c r="F70" s="81">
        <f t="shared" si="49"/>
        <v>1</v>
      </c>
      <c r="G70" s="81">
        <f t="shared" si="49"/>
        <v>1</v>
      </c>
      <c r="H70" s="81">
        <f t="shared" si="49"/>
        <v>1</v>
      </c>
      <c r="I70" s="81">
        <f t="shared" si="49"/>
        <v>1</v>
      </c>
      <c r="J70" s="81">
        <f t="shared" si="49"/>
        <v>1</v>
      </c>
      <c r="K70" s="81">
        <f t="shared" si="49"/>
        <v>1</v>
      </c>
      <c r="L70" s="81">
        <f t="shared" si="49"/>
        <v>1</v>
      </c>
      <c r="M70" s="81">
        <f t="shared" si="49"/>
        <v>1</v>
      </c>
      <c r="N70" s="81">
        <f t="shared" si="49"/>
        <v>1</v>
      </c>
      <c r="O70" s="81">
        <f t="shared" si="49"/>
        <v>1</v>
      </c>
      <c r="P70" s="81">
        <f t="shared" si="49"/>
        <v>1</v>
      </c>
      <c r="Q70" s="81">
        <f t="shared" si="49"/>
        <v>1</v>
      </c>
      <c r="R70" s="14">
        <f t="shared" si="38"/>
        <v>0</v>
      </c>
      <c r="S70" s="15">
        <f>IF(N58=0,0,R70/$R$74)</f>
        <v>0</v>
      </c>
      <c r="T70" s="14">
        <f t="shared" si="39"/>
        <v>0</v>
      </c>
    </row>
    <row r="71" spans="1:20" x14ac:dyDescent="0.35">
      <c r="A71" s="44">
        <f>'Data Kriteria'!E18</f>
        <v>1</v>
      </c>
      <c r="B71" s="30">
        <f>'Data Kriteria'!B18</f>
        <v>0</v>
      </c>
      <c r="C71" s="81">
        <f>IF(OR(C57=1,$A$71=1),1,$A$71/C57)</f>
        <v>1</v>
      </c>
      <c r="D71" s="81">
        <f t="shared" ref="D71:Q71" si="50">IF(OR(D57=1,$A$71=1),1,$A$71/D57)</f>
        <v>1</v>
      </c>
      <c r="E71" s="81">
        <f t="shared" si="50"/>
        <v>1</v>
      </c>
      <c r="F71" s="81">
        <f t="shared" si="50"/>
        <v>1</v>
      </c>
      <c r="G71" s="81">
        <f t="shared" si="50"/>
        <v>1</v>
      </c>
      <c r="H71" s="81">
        <f t="shared" si="50"/>
        <v>1</v>
      </c>
      <c r="I71" s="81">
        <f t="shared" si="50"/>
        <v>1</v>
      </c>
      <c r="J71" s="81">
        <f t="shared" si="50"/>
        <v>1</v>
      </c>
      <c r="K71" s="81">
        <f t="shared" si="50"/>
        <v>1</v>
      </c>
      <c r="L71" s="81">
        <f t="shared" si="50"/>
        <v>1</v>
      </c>
      <c r="M71" s="81">
        <f t="shared" si="50"/>
        <v>1</v>
      </c>
      <c r="N71" s="81">
        <f t="shared" si="50"/>
        <v>1</v>
      </c>
      <c r="O71" s="81">
        <f t="shared" si="50"/>
        <v>1</v>
      </c>
      <c r="P71" s="81">
        <f t="shared" si="50"/>
        <v>1</v>
      </c>
      <c r="Q71" s="81">
        <f t="shared" si="50"/>
        <v>1</v>
      </c>
      <c r="R71" s="14">
        <f t="shared" si="38"/>
        <v>0</v>
      </c>
      <c r="S71" s="15">
        <f>IF(O58=0,0,R71/$R$74)</f>
        <v>0</v>
      </c>
      <c r="T71" s="14">
        <f t="shared" si="39"/>
        <v>0</v>
      </c>
    </row>
    <row r="72" spans="1:20" x14ac:dyDescent="0.35">
      <c r="A72" s="44">
        <f>'Data Kriteria'!E19</f>
        <v>1</v>
      </c>
      <c r="B72" s="30">
        <f>'Data Kriteria'!B19</f>
        <v>0</v>
      </c>
      <c r="C72" s="81">
        <f>IF(OR(C57=1,$A$72=1),1,$A$72/C57)</f>
        <v>1</v>
      </c>
      <c r="D72" s="81">
        <f t="shared" ref="D72:Q72" si="51">IF(OR(D57=1,$A$72=1),1,$A$72/D57)</f>
        <v>1</v>
      </c>
      <c r="E72" s="81">
        <f t="shared" si="51"/>
        <v>1</v>
      </c>
      <c r="F72" s="81">
        <f t="shared" si="51"/>
        <v>1</v>
      </c>
      <c r="G72" s="81">
        <f t="shared" si="51"/>
        <v>1</v>
      </c>
      <c r="H72" s="81">
        <f t="shared" si="51"/>
        <v>1</v>
      </c>
      <c r="I72" s="81">
        <f t="shared" si="51"/>
        <v>1</v>
      </c>
      <c r="J72" s="81">
        <f t="shared" si="51"/>
        <v>1</v>
      </c>
      <c r="K72" s="81">
        <f t="shared" si="51"/>
        <v>1</v>
      </c>
      <c r="L72" s="81">
        <f t="shared" si="51"/>
        <v>1</v>
      </c>
      <c r="M72" s="81">
        <f t="shared" si="51"/>
        <v>1</v>
      </c>
      <c r="N72" s="81">
        <f t="shared" si="51"/>
        <v>1</v>
      </c>
      <c r="O72" s="81">
        <f t="shared" si="51"/>
        <v>1</v>
      </c>
      <c r="P72" s="81">
        <f t="shared" si="51"/>
        <v>1</v>
      </c>
      <c r="Q72" s="81">
        <f t="shared" si="51"/>
        <v>1</v>
      </c>
      <c r="R72" s="14">
        <f t="shared" si="38"/>
        <v>0</v>
      </c>
      <c r="S72" s="15">
        <f>IF(P58=0,0,R72/$R$74)</f>
        <v>0</v>
      </c>
      <c r="T72" s="14">
        <f t="shared" si="39"/>
        <v>0</v>
      </c>
    </row>
    <row r="73" spans="1:20" x14ac:dyDescent="0.35">
      <c r="A73" s="44">
        <f>'Data Kriteria'!E20</f>
        <v>1</v>
      </c>
      <c r="B73" s="30">
        <f>'Data Kriteria'!B20</f>
        <v>0</v>
      </c>
      <c r="C73" s="81">
        <f>IF(OR(C57=1,$A$73=1),1,$A$73/C57)</f>
        <v>1</v>
      </c>
      <c r="D73" s="81">
        <f t="shared" ref="D73:Q73" si="52">IF(OR(D57=1,$A$73=1),1,$A$73/D57)</f>
        <v>1</v>
      </c>
      <c r="E73" s="81">
        <f t="shared" si="52"/>
        <v>1</v>
      </c>
      <c r="F73" s="81">
        <f t="shared" si="52"/>
        <v>1</v>
      </c>
      <c r="G73" s="81">
        <f t="shared" si="52"/>
        <v>1</v>
      </c>
      <c r="H73" s="81">
        <f t="shared" si="52"/>
        <v>1</v>
      </c>
      <c r="I73" s="81">
        <f t="shared" si="52"/>
        <v>1</v>
      </c>
      <c r="J73" s="81">
        <f t="shared" si="52"/>
        <v>1</v>
      </c>
      <c r="K73" s="81">
        <f t="shared" si="52"/>
        <v>1</v>
      </c>
      <c r="L73" s="81">
        <f t="shared" si="52"/>
        <v>1</v>
      </c>
      <c r="M73" s="81">
        <f t="shared" si="52"/>
        <v>1</v>
      </c>
      <c r="N73" s="81">
        <f t="shared" si="52"/>
        <v>1</v>
      </c>
      <c r="O73" s="81">
        <f t="shared" si="52"/>
        <v>1</v>
      </c>
      <c r="P73" s="81">
        <f t="shared" si="52"/>
        <v>1</v>
      </c>
      <c r="Q73" s="81">
        <f t="shared" si="52"/>
        <v>1</v>
      </c>
      <c r="R73" s="14">
        <f t="shared" si="38"/>
        <v>0</v>
      </c>
      <c r="S73" s="15">
        <f>IF(Q58=0,0,R73/$R$74)</f>
        <v>0</v>
      </c>
      <c r="T73" s="14">
        <f t="shared" si="39"/>
        <v>0</v>
      </c>
    </row>
    <row r="74" spans="1:20" x14ac:dyDescent="0.35">
      <c r="R74" s="14">
        <f>SUM(R59:R73)</f>
        <v>0</v>
      </c>
      <c r="S74" s="14">
        <f>SUM(S59:S73)</f>
        <v>0</v>
      </c>
      <c r="T74" s="15">
        <f>MAX(T59:T73)</f>
        <v>0</v>
      </c>
    </row>
    <row r="76" spans="1:20" ht="15" thickBot="1" x14ac:dyDescent="0.4">
      <c r="S76" s="5" t="s">
        <v>49</v>
      </c>
      <c r="T76" s="16">
        <f>T74</f>
        <v>0</v>
      </c>
    </row>
    <row r="77" spans="1:20" ht="15" thickBot="1" x14ac:dyDescent="0.4">
      <c r="B77" s="4" t="s">
        <v>38</v>
      </c>
      <c r="C77" s="4"/>
      <c r="D77" s="4"/>
      <c r="E77" s="51">
        <f>E50</f>
        <v>0</v>
      </c>
      <c r="S77" s="6" t="s">
        <v>39</v>
      </c>
      <c r="T77" s="3">
        <f>(T76-E77)/(E77-1)</f>
        <v>0</v>
      </c>
    </row>
    <row r="78" spans="1:20" x14ac:dyDescent="0.35">
      <c r="S78" s="6" t="s">
        <v>40</v>
      </c>
      <c r="T78" s="57" t="b">
        <f>IF(E77=E79,E80,IF(E77=F79,F80,IF(E77=G79,G80,IF(E77=H79,H80,IF(E77=I79,I80,IF(E77=J79,J80,IF(E77=K79,K80,IF(E77=L79,L80,IF(E77=M79,M80,IF(E77=N79,N80,IF(E77=O79,O80,IF(E77=P79,P80,IF(E77=Q79,Q80)))))))))))))</f>
        <v>0</v>
      </c>
    </row>
    <row r="79" spans="1:20" x14ac:dyDescent="0.35">
      <c r="B79" s="2" t="s">
        <v>41</v>
      </c>
      <c r="C79" s="2">
        <v>1</v>
      </c>
      <c r="D79" s="2">
        <v>2</v>
      </c>
      <c r="E79" s="2">
        <v>3</v>
      </c>
      <c r="F79" s="2">
        <v>4</v>
      </c>
      <c r="G79" s="2">
        <v>5</v>
      </c>
      <c r="H79" s="2">
        <v>6</v>
      </c>
      <c r="I79" s="2">
        <v>7</v>
      </c>
      <c r="J79" s="2">
        <v>8</v>
      </c>
      <c r="K79" s="2">
        <v>9</v>
      </c>
      <c r="L79" s="2">
        <v>10</v>
      </c>
      <c r="M79" s="2">
        <v>11</v>
      </c>
      <c r="N79" s="2">
        <v>12</v>
      </c>
      <c r="O79" s="2">
        <v>13</v>
      </c>
      <c r="P79" s="2">
        <v>14</v>
      </c>
      <c r="Q79" s="2">
        <v>15</v>
      </c>
      <c r="S79" s="6" t="s">
        <v>42</v>
      </c>
      <c r="T79" s="16" t="e">
        <f>T77/T78</f>
        <v>#DIV/0!</v>
      </c>
    </row>
    <row r="80" spans="1:20" x14ac:dyDescent="0.35">
      <c r="B80" s="2" t="s">
        <v>40</v>
      </c>
      <c r="C80" s="87">
        <v>0</v>
      </c>
      <c r="D80" s="87">
        <v>0</v>
      </c>
      <c r="E80" s="87">
        <v>0.57999999999999996</v>
      </c>
      <c r="F80" s="87">
        <v>0.9</v>
      </c>
      <c r="G80" s="87">
        <v>1.1200000000000001</v>
      </c>
      <c r="H80" s="87">
        <v>1.24</v>
      </c>
      <c r="I80" s="87">
        <v>1.32</v>
      </c>
      <c r="J80" s="87">
        <v>1.41</v>
      </c>
      <c r="K80" s="87">
        <v>1.45</v>
      </c>
      <c r="L80" s="87">
        <v>1.49</v>
      </c>
      <c r="M80" s="87">
        <v>1.51</v>
      </c>
      <c r="N80" s="87">
        <v>1.54</v>
      </c>
      <c r="O80" s="87">
        <v>1.56</v>
      </c>
      <c r="P80" s="87">
        <v>1.57</v>
      </c>
      <c r="Q80" s="87">
        <v>1.58</v>
      </c>
    </row>
    <row r="81" spans="1:20" x14ac:dyDescent="0.35">
      <c r="S81" s="6" t="s">
        <v>43</v>
      </c>
      <c r="T81" s="1" t="s">
        <v>44</v>
      </c>
    </row>
    <row r="82" spans="1:20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x14ac:dyDescent="0.35">
      <c r="A83" s="46" t="s">
        <v>46</v>
      </c>
      <c r="B83" s="88">
        <f>'Data Kriteria'!F5</f>
        <v>0</v>
      </c>
    </row>
    <row r="84" spans="1:20" x14ac:dyDescent="0.35">
      <c r="C84" s="44" cm="1">
        <f t="array" ref="C84:Q84">TRANSPOSE(A86:A100)</f>
        <v>1</v>
      </c>
      <c r="D84" s="44">
        <v>1</v>
      </c>
      <c r="E84" s="44">
        <v>1</v>
      </c>
      <c r="F84" s="44">
        <v>1</v>
      </c>
      <c r="G84" s="44">
        <v>1</v>
      </c>
      <c r="H84" s="44">
        <v>1</v>
      </c>
      <c r="I84" s="44">
        <v>1</v>
      </c>
      <c r="J84" s="44">
        <v>1</v>
      </c>
      <c r="K84" s="44">
        <v>1</v>
      </c>
      <c r="L84" s="44">
        <v>1</v>
      </c>
      <c r="M84" s="44">
        <v>1</v>
      </c>
      <c r="N84" s="44">
        <v>1</v>
      </c>
      <c r="O84" s="44">
        <v>1</v>
      </c>
      <c r="P84" s="44">
        <v>1</v>
      </c>
      <c r="Q84" s="44">
        <v>1</v>
      </c>
    </row>
    <row r="85" spans="1:20" x14ac:dyDescent="0.35">
      <c r="B85" s="10">
        <v>4</v>
      </c>
      <c r="C85" s="30" cm="1">
        <f t="array" ref="C85:Q85">TRANSPOSE(B86:B100)</f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43">
        <v>0</v>
      </c>
      <c r="R85" s="45" t="s">
        <v>47</v>
      </c>
      <c r="S85" s="45" t="s">
        <v>35</v>
      </c>
      <c r="T85" s="45" t="s">
        <v>48</v>
      </c>
    </row>
    <row r="86" spans="1:20" x14ac:dyDescent="0.35">
      <c r="A86" s="44">
        <f>'Data Kriteria'!F6</f>
        <v>1</v>
      </c>
      <c r="B86" s="30">
        <f>'Data Kriteria'!B6</f>
        <v>0</v>
      </c>
      <c r="C86" s="81">
        <f>IF(OR(C84=1,$A$86=1),1,$A$86/C84)</f>
        <v>1</v>
      </c>
      <c r="D86" s="81">
        <f t="shared" ref="D86:Q86" si="53">IF(OR(D84=1,$A$86=1),1,$A$86/D84)</f>
        <v>1</v>
      </c>
      <c r="E86" s="81">
        <f t="shared" si="53"/>
        <v>1</v>
      </c>
      <c r="F86" s="81">
        <f t="shared" si="53"/>
        <v>1</v>
      </c>
      <c r="G86" s="81">
        <f t="shared" si="53"/>
        <v>1</v>
      </c>
      <c r="H86" s="81">
        <f t="shared" si="53"/>
        <v>1</v>
      </c>
      <c r="I86" s="81">
        <f t="shared" si="53"/>
        <v>1</v>
      </c>
      <c r="J86" s="81">
        <f t="shared" si="53"/>
        <v>1</v>
      </c>
      <c r="K86" s="81">
        <f t="shared" si="53"/>
        <v>1</v>
      </c>
      <c r="L86" s="81">
        <f t="shared" si="53"/>
        <v>1</v>
      </c>
      <c r="M86" s="81">
        <f t="shared" si="53"/>
        <v>1</v>
      </c>
      <c r="N86" s="81">
        <f t="shared" si="53"/>
        <v>1</v>
      </c>
      <c r="O86" s="81">
        <f t="shared" si="53"/>
        <v>1</v>
      </c>
      <c r="P86" s="81">
        <f t="shared" si="53"/>
        <v>1</v>
      </c>
      <c r="Q86" s="81">
        <f t="shared" si="53"/>
        <v>1</v>
      </c>
      <c r="R86" s="14">
        <f>IF(A86=1,0,(C86*D86*E86*F86*G86*H86*I86*J86*K86*L86*M86*N86*O86*P86*Q86)^(1/$E$104))</f>
        <v>0</v>
      </c>
      <c r="S86" s="15">
        <f>IF(C85=0,0,R86/$R$101)</f>
        <v>0</v>
      </c>
      <c r="T86" s="14">
        <f>IF(A86=1,0,(C86*$S$86+D86*$S$87+E86*$S$88+F86*$S$89+G86*$S$90+H86*$S$91+I86*$S$92+J86*$S$93+K86*$S$9768+L86*$S$95+M86*$S$96+N86*$S$97+O86*$S$98+P86*$S$99+Q86*$S$100)/S86)</f>
        <v>0</v>
      </c>
    </row>
    <row r="87" spans="1:20" x14ac:dyDescent="0.35">
      <c r="A87" s="44">
        <f>'Data Kriteria'!F7</f>
        <v>1</v>
      </c>
      <c r="B87" s="30">
        <f>'Data Kriteria'!B7</f>
        <v>0</v>
      </c>
      <c r="C87" s="81">
        <f>IF(OR(C84=1,$A$87=1),1,$A$87/C84)</f>
        <v>1</v>
      </c>
      <c r="D87" s="81">
        <f t="shared" ref="D87:Q87" si="54">IF(OR(D84=1,$A$87=1),1,$A$87/D84)</f>
        <v>1</v>
      </c>
      <c r="E87" s="81">
        <f t="shared" si="54"/>
        <v>1</v>
      </c>
      <c r="F87" s="81">
        <f t="shared" si="54"/>
        <v>1</v>
      </c>
      <c r="G87" s="81">
        <f t="shared" si="54"/>
        <v>1</v>
      </c>
      <c r="H87" s="81">
        <f t="shared" si="54"/>
        <v>1</v>
      </c>
      <c r="I87" s="81">
        <f t="shared" si="54"/>
        <v>1</v>
      </c>
      <c r="J87" s="81">
        <f t="shared" si="54"/>
        <v>1</v>
      </c>
      <c r="K87" s="81">
        <f t="shared" si="54"/>
        <v>1</v>
      </c>
      <c r="L87" s="81">
        <f t="shared" si="54"/>
        <v>1</v>
      </c>
      <c r="M87" s="81">
        <f t="shared" si="54"/>
        <v>1</v>
      </c>
      <c r="N87" s="81">
        <f t="shared" si="54"/>
        <v>1</v>
      </c>
      <c r="O87" s="81">
        <f t="shared" si="54"/>
        <v>1</v>
      </c>
      <c r="P87" s="81">
        <f t="shared" si="54"/>
        <v>1</v>
      </c>
      <c r="Q87" s="81">
        <f t="shared" si="54"/>
        <v>1</v>
      </c>
      <c r="R87" s="14">
        <f t="shared" ref="R87:R100" si="55">IF(A87=1,0,(C87*D87*E87*F87*G87*H87*I87*J87*K87*L87*M87*N87*O87*P87*Q87)^(1/$E$104))</f>
        <v>0</v>
      </c>
      <c r="S87" s="15">
        <f>IF(D85=0,0,R87/$R$101)</f>
        <v>0</v>
      </c>
      <c r="T87" s="14">
        <f t="shared" ref="T87:T100" si="56">IF(A87=1,0,(C87*$S$86+D87*$S$87+E87*$S$88+F87*$S$89+G87*$S$90+H87*$S$91+I87*$S$92+J87*$S$93+K87*$S$9768+L87*$S$95+M87*$S$96+N87*$S$97+O87*$S$98+P87*$S$99+Q87*$S$100)/S87)</f>
        <v>0</v>
      </c>
    </row>
    <row r="88" spans="1:20" x14ac:dyDescent="0.35">
      <c r="A88" s="44">
        <f>'Data Kriteria'!F8</f>
        <v>1</v>
      </c>
      <c r="B88" s="30">
        <f>'Data Kriteria'!B8</f>
        <v>0</v>
      </c>
      <c r="C88" s="81">
        <f>IF(OR(C84=1,$A$88=1),1,$A$88/C84)</f>
        <v>1</v>
      </c>
      <c r="D88" s="81">
        <f t="shared" ref="D88:Q88" si="57">IF(OR(D84=1,$A$88=1),1,$A$88/D84)</f>
        <v>1</v>
      </c>
      <c r="E88" s="81">
        <f t="shared" si="57"/>
        <v>1</v>
      </c>
      <c r="F88" s="81">
        <f t="shared" si="57"/>
        <v>1</v>
      </c>
      <c r="G88" s="81">
        <f t="shared" si="57"/>
        <v>1</v>
      </c>
      <c r="H88" s="81">
        <f t="shared" si="57"/>
        <v>1</v>
      </c>
      <c r="I88" s="81">
        <f t="shared" si="57"/>
        <v>1</v>
      </c>
      <c r="J88" s="81">
        <f t="shared" si="57"/>
        <v>1</v>
      </c>
      <c r="K88" s="81">
        <f t="shared" si="57"/>
        <v>1</v>
      </c>
      <c r="L88" s="81">
        <f t="shared" si="57"/>
        <v>1</v>
      </c>
      <c r="M88" s="81">
        <f t="shared" si="57"/>
        <v>1</v>
      </c>
      <c r="N88" s="81">
        <f t="shared" si="57"/>
        <v>1</v>
      </c>
      <c r="O88" s="81">
        <f t="shared" si="57"/>
        <v>1</v>
      </c>
      <c r="P88" s="81">
        <f t="shared" si="57"/>
        <v>1</v>
      </c>
      <c r="Q88" s="81">
        <f t="shared" si="57"/>
        <v>1</v>
      </c>
      <c r="R88" s="14">
        <f t="shared" si="55"/>
        <v>0</v>
      </c>
      <c r="S88" s="15">
        <f>IF(E85=0,0,R88/$R$101)</f>
        <v>0</v>
      </c>
      <c r="T88" s="14">
        <f t="shared" si="56"/>
        <v>0</v>
      </c>
    </row>
    <row r="89" spans="1:20" x14ac:dyDescent="0.35">
      <c r="A89" s="44">
        <f>'Data Kriteria'!F9</f>
        <v>1</v>
      </c>
      <c r="B89" s="30">
        <f>'Data Kriteria'!B9</f>
        <v>0</v>
      </c>
      <c r="C89" s="81">
        <f>IF(OR(C84=1,$A$89=1),1,$A$89/C84)</f>
        <v>1</v>
      </c>
      <c r="D89" s="81">
        <f t="shared" ref="D89:Q89" si="58">IF(OR(D84=1,$A$89=1),1,$A$89/D84)</f>
        <v>1</v>
      </c>
      <c r="E89" s="81">
        <f t="shared" si="58"/>
        <v>1</v>
      </c>
      <c r="F89" s="81">
        <f t="shared" si="58"/>
        <v>1</v>
      </c>
      <c r="G89" s="81">
        <f t="shared" si="58"/>
        <v>1</v>
      </c>
      <c r="H89" s="81">
        <f t="shared" si="58"/>
        <v>1</v>
      </c>
      <c r="I89" s="81">
        <f t="shared" si="58"/>
        <v>1</v>
      </c>
      <c r="J89" s="81">
        <f t="shared" si="58"/>
        <v>1</v>
      </c>
      <c r="K89" s="81">
        <f t="shared" si="58"/>
        <v>1</v>
      </c>
      <c r="L89" s="81">
        <f t="shared" si="58"/>
        <v>1</v>
      </c>
      <c r="M89" s="81">
        <f t="shared" si="58"/>
        <v>1</v>
      </c>
      <c r="N89" s="81">
        <f t="shared" si="58"/>
        <v>1</v>
      </c>
      <c r="O89" s="81">
        <f t="shared" si="58"/>
        <v>1</v>
      </c>
      <c r="P89" s="81">
        <f t="shared" si="58"/>
        <v>1</v>
      </c>
      <c r="Q89" s="81">
        <f t="shared" si="58"/>
        <v>1</v>
      </c>
      <c r="R89" s="14">
        <f t="shared" si="55"/>
        <v>0</v>
      </c>
      <c r="S89" s="15">
        <f>IF(F85=0,0,R89/$R$101)</f>
        <v>0</v>
      </c>
      <c r="T89" s="14">
        <f t="shared" si="56"/>
        <v>0</v>
      </c>
    </row>
    <row r="90" spans="1:20" x14ac:dyDescent="0.35">
      <c r="A90" s="44">
        <f>'Data Kriteria'!F10</f>
        <v>1</v>
      </c>
      <c r="B90" s="30">
        <f>'Data Kriteria'!B10</f>
        <v>0</v>
      </c>
      <c r="C90" s="81">
        <f t="shared" ref="C90:Q90" si="59">IF(OR(C84=1,$A$90=1),1,$A$90/C84)</f>
        <v>1</v>
      </c>
      <c r="D90" s="81">
        <f t="shared" si="59"/>
        <v>1</v>
      </c>
      <c r="E90" s="81">
        <f t="shared" si="59"/>
        <v>1</v>
      </c>
      <c r="F90" s="81">
        <f t="shared" si="59"/>
        <v>1</v>
      </c>
      <c r="G90" s="81">
        <f t="shared" si="59"/>
        <v>1</v>
      </c>
      <c r="H90" s="81">
        <f t="shared" si="59"/>
        <v>1</v>
      </c>
      <c r="I90" s="81">
        <f t="shared" si="59"/>
        <v>1</v>
      </c>
      <c r="J90" s="81">
        <f t="shared" si="59"/>
        <v>1</v>
      </c>
      <c r="K90" s="81">
        <f t="shared" si="59"/>
        <v>1</v>
      </c>
      <c r="L90" s="81">
        <f t="shared" si="59"/>
        <v>1</v>
      </c>
      <c r="M90" s="81">
        <f t="shared" si="59"/>
        <v>1</v>
      </c>
      <c r="N90" s="81">
        <f t="shared" si="59"/>
        <v>1</v>
      </c>
      <c r="O90" s="81">
        <f t="shared" si="59"/>
        <v>1</v>
      </c>
      <c r="P90" s="81">
        <f t="shared" si="59"/>
        <v>1</v>
      </c>
      <c r="Q90" s="81">
        <f t="shared" si="59"/>
        <v>1</v>
      </c>
      <c r="R90" s="14">
        <f t="shared" si="55"/>
        <v>0</v>
      </c>
      <c r="S90" s="15">
        <f>IF(G85=0,0,R90/$R$101)</f>
        <v>0</v>
      </c>
      <c r="T90" s="14">
        <f t="shared" si="56"/>
        <v>0</v>
      </c>
    </row>
    <row r="91" spans="1:20" x14ac:dyDescent="0.35">
      <c r="A91" s="44">
        <f>'Data Kriteria'!F11</f>
        <v>1</v>
      </c>
      <c r="B91" s="30">
        <f>'Data Kriteria'!B11</f>
        <v>0</v>
      </c>
      <c r="C91" s="81">
        <f>IF(OR(C84=1,$A$91=1),1,$A$91/C84)</f>
        <v>1</v>
      </c>
      <c r="D91" s="81">
        <f t="shared" ref="D91:Q91" si="60">IF(OR(D84=1,$A$91=1),1,$A$91/D84)</f>
        <v>1</v>
      </c>
      <c r="E91" s="81">
        <f t="shared" si="60"/>
        <v>1</v>
      </c>
      <c r="F91" s="81">
        <f t="shared" si="60"/>
        <v>1</v>
      </c>
      <c r="G91" s="81">
        <f t="shared" si="60"/>
        <v>1</v>
      </c>
      <c r="H91" s="81">
        <f t="shared" si="60"/>
        <v>1</v>
      </c>
      <c r="I91" s="81">
        <f t="shared" si="60"/>
        <v>1</v>
      </c>
      <c r="J91" s="81">
        <f t="shared" si="60"/>
        <v>1</v>
      </c>
      <c r="K91" s="81">
        <f t="shared" si="60"/>
        <v>1</v>
      </c>
      <c r="L91" s="81">
        <f t="shared" si="60"/>
        <v>1</v>
      </c>
      <c r="M91" s="81">
        <f t="shared" si="60"/>
        <v>1</v>
      </c>
      <c r="N91" s="81">
        <f t="shared" si="60"/>
        <v>1</v>
      </c>
      <c r="O91" s="81">
        <f t="shared" si="60"/>
        <v>1</v>
      </c>
      <c r="P91" s="81">
        <f t="shared" si="60"/>
        <v>1</v>
      </c>
      <c r="Q91" s="81">
        <f t="shared" si="60"/>
        <v>1</v>
      </c>
      <c r="R91" s="14">
        <f t="shared" si="55"/>
        <v>0</v>
      </c>
      <c r="S91" s="15">
        <f>IF(H85=0,0,R91/$R$101)</f>
        <v>0</v>
      </c>
      <c r="T91" s="14">
        <f t="shared" si="56"/>
        <v>0</v>
      </c>
    </row>
    <row r="92" spans="1:20" x14ac:dyDescent="0.35">
      <c r="A92" s="44">
        <f>'Data Kriteria'!F12</f>
        <v>1</v>
      </c>
      <c r="B92" s="30">
        <f>'Data Kriteria'!B12</f>
        <v>0</v>
      </c>
      <c r="C92" s="81">
        <f>IF(OR(C84=1,$A$92=1),1,$A$92/C84)</f>
        <v>1</v>
      </c>
      <c r="D92" s="81">
        <f t="shared" ref="D92:Q92" si="61">IF(OR(D84=1,$A$92=1),1,$A$92/D84)</f>
        <v>1</v>
      </c>
      <c r="E92" s="81">
        <f t="shared" si="61"/>
        <v>1</v>
      </c>
      <c r="F92" s="81">
        <f t="shared" si="61"/>
        <v>1</v>
      </c>
      <c r="G92" s="81">
        <f t="shared" si="61"/>
        <v>1</v>
      </c>
      <c r="H92" s="81">
        <f t="shared" si="61"/>
        <v>1</v>
      </c>
      <c r="I92" s="81">
        <f t="shared" si="61"/>
        <v>1</v>
      </c>
      <c r="J92" s="81">
        <f t="shared" si="61"/>
        <v>1</v>
      </c>
      <c r="K92" s="81">
        <f t="shared" si="61"/>
        <v>1</v>
      </c>
      <c r="L92" s="81">
        <f t="shared" si="61"/>
        <v>1</v>
      </c>
      <c r="M92" s="81">
        <f t="shared" si="61"/>
        <v>1</v>
      </c>
      <c r="N92" s="81">
        <f t="shared" si="61"/>
        <v>1</v>
      </c>
      <c r="O92" s="81">
        <f t="shared" si="61"/>
        <v>1</v>
      </c>
      <c r="P92" s="81">
        <f t="shared" si="61"/>
        <v>1</v>
      </c>
      <c r="Q92" s="81">
        <f t="shared" si="61"/>
        <v>1</v>
      </c>
      <c r="R92" s="14">
        <f t="shared" si="55"/>
        <v>0</v>
      </c>
      <c r="S92" s="15">
        <f>IF(I85=0,0,R92/$R$101)</f>
        <v>0</v>
      </c>
      <c r="T92" s="14">
        <f t="shared" si="56"/>
        <v>0</v>
      </c>
    </row>
    <row r="93" spans="1:20" x14ac:dyDescent="0.35">
      <c r="A93" s="44">
        <f>'Data Kriteria'!F13</f>
        <v>1</v>
      </c>
      <c r="B93" s="30">
        <f>'Data Kriteria'!B13</f>
        <v>0</v>
      </c>
      <c r="C93" s="81">
        <f>IF(OR(C84=1,$A$93=1),1,$A$93/C84)</f>
        <v>1</v>
      </c>
      <c r="D93" s="81">
        <f t="shared" ref="D93:Q93" si="62">IF(OR(D84=1,$A$93=1),1,$A$93/D84)</f>
        <v>1</v>
      </c>
      <c r="E93" s="81">
        <f t="shared" si="62"/>
        <v>1</v>
      </c>
      <c r="F93" s="81">
        <f t="shared" si="62"/>
        <v>1</v>
      </c>
      <c r="G93" s="81">
        <f t="shared" si="62"/>
        <v>1</v>
      </c>
      <c r="H93" s="81">
        <f t="shared" si="62"/>
        <v>1</v>
      </c>
      <c r="I93" s="81">
        <f t="shared" si="62"/>
        <v>1</v>
      </c>
      <c r="J93" s="81">
        <f t="shared" si="62"/>
        <v>1</v>
      </c>
      <c r="K93" s="81">
        <f t="shared" si="62"/>
        <v>1</v>
      </c>
      <c r="L93" s="81">
        <f t="shared" si="62"/>
        <v>1</v>
      </c>
      <c r="M93" s="81">
        <f t="shared" si="62"/>
        <v>1</v>
      </c>
      <c r="N93" s="81">
        <f t="shared" si="62"/>
        <v>1</v>
      </c>
      <c r="O93" s="81">
        <f t="shared" si="62"/>
        <v>1</v>
      </c>
      <c r="P93" s="81">
        <f t="shared" si="62"/>
        <v>1</v>
      </c>
      <c r="Q93" s="81">
        <f t="shared" si="62"/>
        <v>1</v>
      </c>
      <c r="R93" s="14">
        <f t="shared" si="55"/>
        <v>0</v>
      </c>
      <c r="S93" s="15">
        <f>IF(J85=0,0,R93/$R$101)</f>
        <v>0</v>
      </c>
      <c r="T93" s="14">
        <f t="shared" si="56"/>
        <v>0</v>
      </c>
    </row>
    <row r="94" spans="1:20" x14ac:dyDescent="0.35">
      <c r="A94" s="44">
        <f>'Data Kriteria'!F14</f>
        <v>1</v>
      </c>
      <c r="B94" s="30">
        <f>'Data Kriteria'!B14</f>
        <v>0</v>
      </c>
      <c r="C94" s="81">
        <f>IF(OR(C84=1,$A$94=1),1,$A$94/C84)</f>
        <v>1</v>
      </c>
      <c r="D94" s="81">
        <f t="shared" ref="D94:Q94" si="63">IF(OR(D84=1,$A$94=1),1,$A$94/D84)</f>
        <v>1</v>
      </c>
      <c r="E94" s="81">
        <f t="shared" si="63"/>
        <v>1</v>
      </c>
      <c r="F94" s="81">
        <f t="shared" si="63"/>
        <v>1</v>
      </c>
      <c r="G94" s="81">
        <f t="shared" si="63"/>
        <v>1</v>
      </c>
      <c r="H94" s="81">
        <f t="shared" si="63"/>
        <v>1</v>
      </c>
      <c r="I94" s="81">
        <f t="shared" si="63"/>
        <v>1</v>
      </c>
      <c r="J94" s="81">
        <f t="shared" si="63"/>
        <v>1</v>
      </c>
      <c r="K94" s="81">
        <f t="shared" si="63"/>
        <v>1</v>
      </c>
      <c r="L94" s="81">
        <f t="shared" si="63"/>
        <v>1</v>
      </c>
      <c r="M94" s="81">
        <f t="shared" si="63"/>
        <v>1</v>
      </c>
      <c r="N94" s="81">
        <f t="shared" si="63"/>
        <v>1</v>
      </c>
      <c r="O94" s="81">
        <f t="shared" si="63"/>
        <v>1</v>
      </c>
      <c r="P94" s="81">
        <f t="shared" si="63"/>
        <v>1</v>
      </c>
      <c r="Q94" s="81">
        <f t="shared" si="63"/>
        <v>1</v>
      </c>
      <c r="R94" s="14">
        <f t="shared" si="55"/>
        <v>0</v>
      </c>
      <c r="S94" s="15">
        <f>IF(K85=0,0,R94/$R$101)</f>
        <v>0</v>
      </c>
      <c r="T94" s="14">
        <f t="shared" si="56"/>
        <v>0</v>
      </c>
    </row>
    <row r="95" spans="1:20" x14ac:dyDescent="0.35">
      <c r="A95" s="44">
        <f>'Data Kriteria'!F15</f>
        <v>1</v>
      </c>
      <c r="B95" s="30">
        <f>'Data Kriteria'!B15</f>
        <v>0</v>
      </c>
      <c r="C95" s="81">
        <f>IF(OR(C84=1,$A$95=1),1,$A$95/C84)</f>
        <v>1</v>
      </c>
      <c r="D95" s="81">
        <f t="shared" ref="D95:Q95" si="64">IF(OR(D84=1,$A$95=1),1,$A$95/D84)</f>
        <v>1</v>
      </c>
      <c r="E95" s="81">
        <f t="shared" si="64"/>
        <v>1</v>
      </c>
      <c r="F95" s="81">
        <f t="shared" si="64"/>
        <v>1</v>
      </c>
      <c r="G95" s="81">
        <f t="shared" si="64"/>
        <v>1</v>
      </c>
      <c r="H95" s="81">
        <f t="shared" si="64"/>
        <v>1</v>
      </c>
      <c r="I95" s="81">
        <f t="shared" si="64"/>
        <v>1</v>
      </c>
      <c r="J95" s="81">
        <f t="shared" si="64"/>
        <v>1</v>
      </c>
      <c r="K95" s="81">
        <f t="shared" si="64"/>
        <v>1</v>
      </c>
      <c r="L95" s="81">
        <f t="shared" si="64"/>
        <v>1</v>
      </c>
      <c r="M95" s="81">
        <f t="shared" si="64"/>
        <v>1</v>
      </c>
      <c r="N95" s="81">
        <f t="shared" si="64"/>
        <v>1</v>
      </c>
      <c r="O95" s="81">
        <f t="shared" si="64"/>
        <v>1</v>
      </c>
      <c r="P95" s="81">
        <f t="shared" si="64"/>
        <v>1</v>
      </c>
      <c r="Q95" s="81">
        <f t="shared" si="64"/>
        <v>1</v>
      </c>
      <c r="R95" s="14">
        <f t="shared" si="55"/>
        <v>0</v>
      </c>
      <c r="S95" s="15">
        <f>IF(L85=0,0,R95/$R$101)</f>
        <v>0</v>
      </c>
      <c r="T95" s="14">
        <f t="shared" si="56"/>
        <v>0</v>
      </c>
    </row>
    <row r="96" spans="1:20" x14ac:dyDescent="0.35">
      <c r="A96" s="44">
        <f>'Data Kriteria'!F16</f>
        <v>1</v>
      </c>
      <c r="B96" s="30">
        <f>'Data Kriteria'!B16</f>
        <v>0</v>
      </c>
      <c r="C96" s="81">
        <f>IF(OR(C84=1,$A$96=1),1,$A$96/C84)</f>
        <v>1</v>
      </c>
      <c r="D96" s="81">
        <f t="shared" ref="D96:Q96" si="65">IF(OR(D84=1,$A$96=1),1,$A$96/D84)</f>
        <v>1</v>
      </c>
      <c r="E96" s="81">
        <f t="shared" si="65"/>
        <v>1</v>
      </c>
      <c r="F96" s="81">
        <f t="shared" si="65"/>
        <v>1</v>
      </c>
      <c r="G96" s="81">
        <f t="shared" si="65"/>
        <v>1</v>
      </c>
      <c r="H96" s="81">
        <f t="shared" si="65"/>
        <v>1</v>
      </c>
      <c r="I96" s="81">
        <f t="shared" si="65"/>
        <v>1</v>
      </c>
      <c r="J96" s="81">
        <f t="shared" si="65"/>
        <v>1</v>
      </c>
      <c r="K96" s="81">
        <f t="shared" si="65"/>
        <v>1</v>
      </c>
      <c r="L96" s="81">
        <f t="shared" si="65"/>
        <v>1</v>
      </c>
      <c r="M96" s="81">
        <f t="shared" si="65"/>
        <v>1</v>
      </c>
      <c r="N96" s="81">
        <f t="shared" si="65"/>
        <v>1</v>
      </c>
      <c r="O96" s="81">
        <f t="shared" si="65"/>
        <v>1</v>
      </c>
      <c r="P96" s="81">
        <f t="shared" si="65"/>
        <v>1</v>
      </c>
      <c r="Q96" s="81">
        <f t="shared" si="65"/>
        <v>1</v>
      </c>
      <c r="R96" s="14">
        <f t="shared" si="55"/>
        <v>0</v>
      </c>
      <c r="S96" s="15">
        <f>IF(M85=0,0,R96/$R$101)</f>
        <v>0</v>
      </c>
      <c r="T96" s="14">
        <f t="shared" si="56"/>
        <v>0</v>
      </c>
    </row>
    <row r="97" spans="1:20" x14ac:dyDescent="0.35">
      <c r="A97" s="44">
        <f>'Data Kriteria'!F17</f>
        <v>1</v>
      </c>
      <c r="B97" s="30">
        <f>'Data Kriteria'!B17</f>
        <v>0</v>
      </c>
      <c r="C97" s="81">
        <f>IF(OR(C84=1,$A$97=1),1,$A$97/C84)</f>
        <v>1</v>
      </c>
      <c r="D97" s="81">
        <f t="shared" ref="D97:Q97" si="66">IF(OR(D84=1,$A$97=1),1,$A$97/D84)</f>
        <v>1</v>
      </c>
      <c r="E97" s="81">
        <f t="shared" si="66"/>
        <v>1</v>
      </c>
      <c r="F97" s="81">
        <f t="shared" si="66"/>
        <v>1</v>
      </c>
      <c r="G97" s="81">
        <f t="shared" si="66"/>
        <v>1</v>
      </c>
      <c r="H97" s="81">
        <f t="shared" si="66"/>
        <v>1</v>
      </c>
      <c r="I97" s="81">
        <f t="shared" si="66"/>
        <v>1</v>
      </c>
      <c r="J97" s="81">
        <f t="shared" si="66"/>
        <v>1</v>
      </c>
      <c r="K97" s="81">
        <f t="shared" si="66"/>
        <v>1</v>
      </c>
      <c r="L97" s="81">
        <f t="shared" si="66"/>
        <v>1</v>
      </c>
      <c r="M97" s="81">
        <f t="shared" si="66"/>
        <v>1</v>
      </c>
      <c r="N97" s="81">
        <f t="shared" si="66"/>
        <v>1</v>
      </c>
      <c r="O97" s="81">
        <f t="shared" si="66"/>
        <v>1</v>
      </c>
      <c r="P97" s="81">
        <f t="shared" si="66"/>
        <v>1</v>
      </c>
      <c r="Q97" s="81">
        <f t="shared" si="66"/>
        <v>1</v>
      </c>
      <c r="R97" s="14">
        <f t="shared" si="55"/>
        <v>0</v>
      </c>
      <c r="S97" s="15">
        <f>IF(N85=0,0,R97/$R$101)</f>
        <v>0</v>
      </c>
      <c r="T97" s="14">
        <f t="shared" si="56"/>
        <v>0</v>
      </c>
    </row>
    <row r="98" spans="1:20" x14ac:dyDescent="0.35">
      <c r="A98" s="44">
        <f>'Data Kriteria'!F18</f>
        <v>1</v>
      </c>
      <c r="B98" s="30">
        <f>'Data Kriteria'!B18</f>
        <v>0</v>
      </c>
      <c r="C98" s="81">
        <f>IF(OR(C84=1,$A$98=1),1,$A$98/C84)</f>
        <v>1</v>
      </c>
      <c r="D98" s="81">
        <f t="shared" ref="D98:Q98" si="67">IF(OR(D84=1,$A$98=1),1,$A$98/D84)</f>
        <v>1</v>
      </c>
      <c r="E98" s="81">
        <f t="shared" si="67"/>
        <v>1</v>
      </c>
      <c r="F98" s="81">
        <f t="shared" si="67"/>
        <v>1</v>
      </c>
      <c r="G98" s="81">
        <f t="shared" si="67"/>
        <v>1</v>
      </c>
      <c r="H98" s="81">
        <f t="shared" si="67"/>
        <v>1</v>
      </c>
      <c r="I98" s="81">
        <f t="shared" si="67"/>
        <v>1</v>
      </c>
      <c r="J98" s="81">
        <f t="shared" si="67"/>
        <v>1</v>
      </c>
      <c r="K98" s="81">
        <f t="shared" si="67"/>
        <v>1</v>
      </c>
      <c r="L98" s="81">
        <f t="shared" si="67"/>
        <v>1</v>
      </c>
      <c r="M98" s="81">
        <f t="shared" si="67"/>
        <v>1</v>
      </c>
      <c r="N98" s="81">
        <f t="shared" si="67"/>
        <v>1</v>
      </c>
      <c r="O98" s="81">
        <f t="shared" si="67"/>
        <v>1</v>
      </c>
      <c r="P98" s="81">
        <f t="shared" si="67"/>
        <v>1</v>
      </c>
      <c r="Q98" s="81">
        <f t="shared" si="67"/>
        <v>1</v>
      </c>
      <c r="R98" s="14">
        <f t="shared" si="55"/>
        <v>0</v>
      </c>
      <c r="S98" s="15">
        <f>IF(O85=0,0,R98/$R$101)</f>
        <v>0</v>
      </c>
      <c r="T98" s="14">
        <f t="shared" si="56"/>
        <v>0</v>
      </c>
    </row>
    <row r="99" spans="1:20" x14ac:dyDescent="0.35">
      <c r="A99" s="44">
        <f>'Data Kriteria'!F19</f>
        <v>1</v>
      </c>
      <c r="B99" s="30">
        <f>'Data Kriteria'!B19</f>
        <v>0</v>
      </c>
      <c r="C99" s="81">
        <f>IF(OR(C84=1,$A$99=1),1,$A$99/C84)</f>
        <v>1</v>
      </c>
      <c r="D99" s="81">
        <f t="shared" ref="D99:Q99" si="68">IF(OR(D84=1,$A$99=1),1,$A$99/D84)</f>
        <v>1</v>
      </c>
      <c r="E99" s="81">
        <f t="shared" si="68"/>
        <v>1</v>
      </c>
      <c r="F99" s="81">
        <f t="shared" si="68"/>
        <v>1</v>
      </c>
      <c r="G99" s="81">
        <f t="shared" si="68"/>
        <v>1</v>
      </c>
      <c r="H99" s="81">
        <f t="shared" si="68"/>
        <v>1</v>
      </c>
      <c r="I99" s="81">
        <f t="shared" si="68"/>
        <v>1</v>
      </c>
      <c r="J99" s="81">
        <f t="shared" si="68"/>
        <v>1</v>
      </c>
      <c r="K99" s="81">
        <f t="shared" si="68"/>
        <v>1</v>
      </c>
      <c r="L99" s="81">
        <f t="shared" si="68"/>
        <v>1</v>
      </c>
      <c r="M99" s="81">
        <f t="shared" si="68"/>
        <v>1</v>
      </c>
      <c r="N99" s="81">
        <f t="shared" si="68"/>
        <v>1</v>
      </c>
      <c r="O99" s="81">
        <f t="shared" si="68"/>
        <v>1</v>
      </c>
      <c r="P99" s="81">
        <f t="shared" si="68"/>
        <v>1</v>
      </c>
      <c r="Q99" s="81">
        <f t="shared" si="68"/>
        <v>1</v>
      </c>
      <c r="R99" s="14">
        <f t="shared" si="55"/>
        <v>0</v>
      </c>
      <c r="S99" s="15">
        <f>IF(P85=0,0,R99/$R$101)</f>
        <v>0</v>
      </c>
      <c r="T99" s="14">
        <f t="shared" si="56"/>
        <v>0</v>
      </c>
    </row>
    <row r="100" spans="1:20" x14ac:dyDescent="0.35">
      <c r="A100" s="44">
        <f>'Data Kriteria'!F20</f>
        <v>1</v>
      </c>
      <c r="B100" s="30">
        <f>'Data Kriteria'!B20</f>
        <v>0</v>
      </c>
      <c r="C100" s="81">
        <f>IF(OR(C84=1,$A$100=1),1,$A$100/C84)</f>
        <v>1</v>
      </c>
      <c r="D100" s="81">
        <f t="shared" ref="D100:Q100" si="69">IF(OR(D84=1,$A$100=1),1,$A$100/D84)</f>
        <v>1</v>
      </c>
      <c r="E100" s="81">
        <f t="shared" si="69"/>
        <v>1</v>
      </c>
      <c r="F100" s="81">
        <f t="shared" si="69"/>
        <v>1</v>
      </c>
      <c r="G100" s="81">
        <f t="shared" si="69"/>
        <v>1</v>
      </c>
      <c r="H100" s="81">
        <f t="shared" si="69"/>
        <v>1</v>
      </c>
      <c r="I100" s="81">
        <f t="shared" si="69"/>
        <v>1</v>
      </c>
      <c r="J100" s="81">
        <f t="shared" si="69"/>
        <v>1</v>
      </c>
      <c r="K100" s="81">
        <f t="shared" si="69"/>
        <v>1</v>
      </c>
      <c r="L100" s="81">
        <f t="shared" si="69"/>
        <v>1</v>
      </c>
      <c r="M100" s="81">
        <f t="shared" si="69"/>
        <v>1</v>
      </c>
      <c r="N100" s="81">
        <f t="shared" si="69"/>
        <v>1</v>
      </c>
      <c r="O100" s="81">
        <f t="shared" si="69"/>
        <v>1</v>
      </c>
      <c r="P100" s="81">
        <f t="shared" si="69"/>
        <v>1</v>
      </c>
      <c r="Q100" s="81">
        <f t="shared" si="69"/>
        <v>1</v>
      </c>
      <c r="R100" s="14">
        <f t="shared" si="55"/>
        <v>0</v>
      </c>
      <c r="S100" s="15">
        <f>IF(Q85=0,0,R100/$R$101)</f>
        <v>0</v>
      </c>
      <c r="T100" s="14">
        <f t="shared" si="56"/>
        <v>0</v>
      </c>
    </row>
    <row r="101" spans="1:20" x14ac:dyDescent="0.35">
      <c r="R101" s="14">
        <f>SUM(R86:R100)</f>
        <v>0</v>
      </c>
      <c r="S101" s="14">
        <f>SUM(S86:S100)</f>
        <v>0</v>
      </c>
      <c r="T101" s="15">
        <f>MAX(T86:T100)</f>
        <v>0</v>
      </c>
    </row>
    <row r="103" spans="1:20" ht="15" thickBot="1" x14ac:dyDescent="0.4">
      <c r="S103" s="5" t="s">
        <v>49</v>
      </c>
      <c r="T103" s="16">
        <f>T101</f>
        <v>0</v>
      </c>
    </row>
    <row r="104" spans="1:20" ht="15" thickBot="1" x14ac:dyDescent="0.4">
      <c r="B104" s="4" t="s">
        <v>38</v>
      </c>
      <c r="C104" s="4"/>
      <c r="D104" s="4"/>
      <c r="E104" s="51">
        <f>E77</f>
        <v>0</v>
      </c>
      <c r="S104" s="6" t="s">
        <v>39</v>
      </c>
      <c r="T104" s="3">
        <f>(T103-E104)/(E104-1)</f>
        <v>0</v>
      </c>
    </row>
    <row r="105" spans="1:20" x14ac:dyDescent="0.35">
      <c r="S105" s="6" t="s">
        <v>40</v>
      </c>
      <c r="T105" s="57" t="b">
        <f>IF(E104=E106,E107,IF(E104=F106,F107,IF(E104=G106,G107,IF(E104=H106,H107,IF(E104=I106,I107,IF(E104=J106,J107,IF(E104=K106,K107,IF(E104=L106,L107,IF(E104=M106,M107,IF(E104=N106,N107,IF(E104=O106,O107,IF(E104=P106,P107,IF(E104=Q106,Q107)))))))))))))</f>
        <v>0</v>
      </c>
    </row>
    <row r="106" spans="1:20" x14ac:dyDescent="0.35">
      <c r="B106" s="2" t="s">
        <v>41</v>
      </c>
      <c r="C106" s="2">
        <v>1</v>
      </c>
      <c r="D106" s="2">
        <v>2</v>
      </c>
      <c r="E106" s="2">
        <v>3</v>
      </c>
      <c r="F106" s="2">
        <v>4</v>
      </c>
      <c r="G106" s="2">
        <v>5</v>
      </c>
      <c r="H106" s="2">
        <v>6</v>
      </c>
      <c r="I106" s="2">
        <v>7</v>
      </c>
      <c r="J106" s="2">
        <v>8</v>
      </c>
      <c r="K106" s="2">
        <v>9</v>
      </c>
      <c r="L106" s="2">
        <v>10</v>
      </c>
      <c r="M106" s="2">
        <v>11</v>
      </c>
      <c r="N106" s="2">
        <v>12</v>
      </c>
      <c r="O106" s="2">
        <v>13</v>
      </c>
      <c r="P106" s="2">
        <v>14</v>
      </c>
      <c r="Q106" s="2">
        <v>15</v>
      </c>
      <c r="S106" s="6" t="s">
        <v>42</v>
      </c>
      <c r="T106" s="16" t="e">
        <f>T104/T105</f>
        <v>#DIV/0!</v>
      </c>
    </row>
    <row r="107" spans="1:20" x14ac:dyDescent="0.35">
      <c r="B107" s="2" t="s">
        <v>40</v>
      </c>
      <c r="C107" s="87">
        <v>0</v>
      </c>
      <c r="D107" s="87">
        <v>0</v>
      </c>
      <c r="E107" s="87">
        <v>0.57999999999999996</v>
      </c>
      <c r="F107" s="87">
        <v>0.9</v>
      </c>
      <c r="G107" s="87">
        <v>1.1200000000000001</v>
      </c>
      <c r="H107" s="87">
        <v>1.24</v>
      </c>
      <c r="I107" s="87">
        <v>1.32</v>
      </c>
      <c r="J107" s="87">
        <v>1.41</v>
      </c>
      <c r="K107" s="87">
        <v>1.45</v>
      </c>
      <c r="L107" s="87">
        <v>1.49</v>
      </c>
      <c r="M107" s="87">
        <v>1.51</v>
      </c>
      <c r="N107" s="87">
        <v>1.54</v>
      </c>
      <c r="O107" s="87">
        <v>1.56</v>
      </c>
      <c r="P107" s="87">
        <v>1.57</v>
      </c>
      <c r="Q107" s="87">
        <v>1.58</v>
      </c>
    </row>
    <row r="108" spans="1:20" x14ac:dyDescent="0.35">
      <c r="S108" s="6" t="s">
        <v>43</v>
      </c>
      <c r="T108" s="1" t="s">
        <v>44</v>
      </c>
    </row>
    <row r="109" spans="1:20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x14ac:dyDescent="0.35">
      <c r="A110" s="46" t="s">
        <v>46</v>
      </c>
      <c r="B110" s="88">
        <f>'Data Kriteria'!G5</f>
        <v>0</v>
      </c>
    </row>
    <row r="111" spans="1:20" x14ac:dyDescent="0.35">
      <c r="C111" s="44" cm="1">
        <f t="array" ref="C111:Q111">TRANSPOSE(A113:A127)</f>
        <v>1</v>
      </c>
      <c r="D111" s="44">
        <v>1</v>
      </c>
      <c r="E111" s="44">
        <v>1</v>
      </c>
      <c r="F111" s="44">
        <v>1</v>
      </c>
      <c r="G111" s="44">
        <v>1</v>
      </c>
      <c r="H111" s="44">
        <v>1</v>
      </c>
      <c r="I111" s="44">
        <v>1</v>
      </c>
      <c r="J111" s="44">
        <v>1</v>
      </c>
      <c r="K111" s="44">
        <v>1</v>
      </c>
      <c r="L111" s="44">
        <v>1</v>
      </c>
      <c r="M111" s="44">
        <v>1</v>
      </c>
      <c r="N111" s="44">
        <v>1</v>
      </c>
      <c r="O111" s="44">
        <v>1</v>
      </c>
      <c r="P111" s="44">
        <v>1</v>
      </c>
      <c r="Q111" s="44">
        <v>1</v>
      </c>
    </row>
    <row r="112" spans="1:20" x14ac:dyDescent="0.35">
      <c r="B112" s="10">
        <v>5</v>
      </c>
      <c r="C112" s="30" cm="1">
        <f t="array" ref="C112:Q112">TRANSPOSE(B113:B127)</f>
        <v>0</v>
      </c>
      <c r="D112" s="30">
        <v>0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43">
        <v>0</v>
      </c>
      <c r="R112" s="45" t="s">
        <v>47</v>
      </c>
      <c r="S112" s="45" t="s">
        <v>35</v>
      </c>
      <c r="T112" s="45" t="s">
        <v>48</v>
      </c>
    </row>
    <row r="113" spans="1:20" x14ac:dyDescent="0.35">
      <c r="A113" s="44">
        <f>'Data Kriteria'!G6</f>
        <v>1</v>
      </c>
      <c r="B113" s="30">
        <f>'Data Kriteria'!B6</f>
        <v>0</v>
      </c>
      <c r="C113" s="81">
        <f>IF(OR(C111=1,$A$113=1),1,$A$113/C111)</f>
        <v>1</v>
      </c>
      <c r="D113" s="81">
        <f t="shared" ref="D113:Q113" si="70">IF(OR(D111=1,$A$113=1),1,$A$113/D111)</f>
        <v>1</v>
      </c>
      <c r="E113" s="81">
        <f t="shared" si="70"/>
        <v>1</v>
      </c>
      <c r="F113" s="81">
        <f t="shared" si="70"/>
        <v>1</v>
      </c>
      <c r="G113" s="81">
        <f t="shared" si="70"/>
        <v>1</v>
      </c>
      <c r="H113" s="81">
        <f t="shared" si="70"/>
        <v>1</v>
      </c>
      <c r="I113" s="81">
        <f t="shared" si="70"/>
        <v>1</v>
      </c>
      <c r="J113" s="81">
        <f t="shared" si="70"/>
        <v>1</v>
      </c>
      <c r="K113" s="81">
        <f t="shared" si="70"/>
        <v>1</v>
      </c>
      <c r="L113" s="81">
        <f t="shared" si="70"/>
        <v>1</v>
      </c>
      <c r="M113" s="81">
        <f t="shared" si="70"/>
        <v>1</v>
      </c>
      <c r="N113" s="81">
        <f t="shared" si="70"/>
        <v>1</v>
      </c>
      <c r="O113" s="81">
        <f t="shared" si="70"/>
        <v>1</v>
      </c>
      <c r="P113" s="81">
        <f t="shared" si="70"/>
        <v>1</v>
      </c>
      <c r="Q113" s="81">
        <f t="shared" si="70"/>
        <v>1</v>
      </c>
      <c r="R113" s="14">
        <f>IF(A113=1,0,(C113*D113*E113*F113*G113*H113*I113*J113*K113*L113*M113*N113*O113*P113*Q113)^(1/$E$131))</f>
        <v>0</v>
      </c>
      <c r="S113" s="14">
        <f>IF(C112=0,0,R113/$R$128)</f>
        <v>0</v>
      </c>
      <c r="T113" s="14">
        <f>IF(A113=1,0,(C113*$S$113+D113*$S$114+E113*$S$115+F113*$S$116+G113*$S$117+H113*$S$118+I113*$S$119+J113*$S$120+K113*$S$121+L113*$S$122+M113*$S$123+N113*$S$124+O113*$S$125+P113*$S$126+Q113*$S$127)/S113)</f>
        <v>0</v>
      </c>
    </row>
    <row r="114" spans="1:20" x14ac:dyDescent="0.35">
      <c r="A114" s="44">
        <f>'Data Kriteria'!G7</f>
        <v>1</v>
      </c>
      <c r="B114" s="30">
        <f>'Data Kriteria'!B7</f>
        <v>0</v>
      </c>
      <c r="C114" s="81">
        <f>IF(OR(C111=1,$A$114=1),1,$A$114/C111)</f>
        <v>1</v>
      </c>
      <c r="D114" s="81">
        <f t="shared" ref="D114:Q114" si="71">IF(OR(D111=1,$A$114=1),1,$A$114/D111)</f>
        <v>1</v>
      </c>
      <c r="E114" s="81">
        <f t="shared" si="71"/>
        <v>1</v>
      </c>
      <c r="F114" s="81">
        <f t="shared" si="71"/>
        <v>1</v>
      </c>
      <c r="G114" s="81">
        <f t="shared" si="71"/>
        <v>1</v>
      </c>
      <c r="H114" s="81">
        <f t="shared" si="71"/>
        <v>1</v>
      </c>
      <c r="I114" s="81">
        <f t="shared" si="71"/>
        <v>1</v>
      </c>
      <c r="J114" s="81">
        <f t="shared" si="71"/>
        <v>1</v>
      </c>
      <c r="K114" s="81">
        <f t="shared" si="71"/>
        <v>1</v>
      </c>
      <c r="L114" s="81">
        <f t="shared" si="71"/>
        <v>1</v>
      </c>
      <c r="M114" s="81">
        <f t="shared" si="71"/>
        <v>1</v>
      </c>
      <c r="N114" s="81">
        <f t="shared" si="71"/>
        <v>1</v>
      </c>
      <c r="O114" s="81">
        <f t="shared" si="71"/>
        <v>1</v>
      </c>
      <c r="P114" s="81">
        <f t="shared" si="71"/>
        <v>1</v>
      </c>
      <c r="Q114" s="81">
        <f t="shared" si="71"/>
        <v>1</v>
      </c>
      <c r="R114" s="14">
        <f t="shared" ref="R114:R127" si="72">IF(A114=1,0,(C114*D114*E114*F114*G114*H114*I114*J114*K114*L114*M114*N114*O114*P114*Q114)^(1/$E$131))</f>
        <v>0</v>
      </c>
      <c r="S114" s="14">
        <f>IF(D112=0,0,R114/$R$128)</f>
        <v>0</v>
      </c>
      <c r="T114" s="14">
        <f t="shared" ref="T114:T127" si="73">IF(A114=1,0,(C114*$S$113+D114*$S$114+E114*$S$115+F114*$S$116+G114*$S$117+H114*$S$118+I114*$S$119+J114*$S$120+K114*$S$121+L114*$S$122+M114*$S$123+N114*$S$124+O114*$S$125+P114*$S$126+Q114*$S$127)/S114)</f>
        <v>0</v>
      </c>
    </row>
    <row r="115" spans="1:20" x14ac:dyDescent="0.35">
      <c r="A115" s="44">
        <f>'Data Kriteria'!G8</f>
        <v>1</v>
      </c>
      <c r="B115" s="30">
        <f>'Data Kriteria'!B8</f>
        <v>0</v>
      </c>
      <c r="C115" s="81">
        <f>IF(OR(C111=1,$A$115=1),1,$A$115/C111)</f>
        <v>1</v>
      </c>
      <c r="D115" s="81">
        <f t="shared" ref="D115:Q115" si="74">IF(OR(D111=1,$A$115=1),1,$A$115/D111)</f>
        <v>1</v>
      </c>
      <c r="E115" s="81">
        <f t="shared" si="74"/>
        <v>1</v>
      </c>
      <c r="F115" s="81">
        <f t="shared" si="74"/>
        <v>1</v>
      </c>
      <c r="G115" s="81">
        <f t="shared" si="74"/>
        <v>1</v>
      </c>
      <c r="H115" s="81">
        <f t="shared" si="74"/>
        <v>1</v>
      </c>
      <c r="I115" s="81">
        <f t="shared" si="74"/>
        <v>1</v>
      </c>
      <c r="J115" s="81">
        <f t="shared" si="74"/>
        <v>1</v>
      </c>
      <c r="K115" s="81">
        <f t="shared" si="74"/>
        <v>1</v>
      </c>
      <c r="L115" s="81">
        <f t="shared" si="74"/>
        <v>1</v>
      </c>
      <c r="M115" s="81">
        <f t="shared" si="74"/>
        <v>1</v>
      </c>
      <c r="N115" s="81">
        <f t="shared" si="74"/>
        <v>1</v>
      </c>
      <c r="O115" s="81">
        <f t="shared" si="74"/>
        <v>1</v>
      </c>
      <c r="P115" s="81">
        <f t="shared" si="74"/>
        <v>1</v>
      </c>
      <c r="Q115" s="81">
        <f t="shared" si="74"/>
        <v>1</v>
      </c>
      <c r="R115" s="14">
        <f t="shared" si="72"/>
        <v>0</v>
      </c>
      <c r="S115" s="14">
        <f>IF(E112=0,0,R115/$R$128)</f>
        <v>0</v>
      </c>
      <c r="T115" s="14">
        <f t="shared" si="73"/>
        <v>0</v>
      </c>
    </row>
    <row r="116" spans="1:20" x14ac:dyDescent="0.35">
      <c r="A116" s="44">
        <f>'Data Kriteria'!G9</f>
        <v>1</v>
      </c>
      <c r="B116" s="30">
        <f>'Data Kriteria'!B9</f>
        <v>0</v>
      </c>
      <c r="C116" s="81">
        <f>IF(OR(C111=1,$A$116=1),1,$A$116/C111)</f>
        <v>1</v>
      </c>
      <c r="D116" s="81">
        <f t="shared" ref="D116:Q116" si="75">IF(OR(D111=1,$A$116=1),1,$A$116/D111)</f>
        <v>1</v>
      </c>
      <c r="E116" s="81">
        <f t="shared" si="75"/>
        <v>1</v>
      </c>
      <c r="F116" s="81">
        <f t="shared" si="75"/>
        <v>1</v>
      </c>
      <c r="G116" s="81">
        <f t="shared" si="75"/>
        <v>1</v>
      </c>
      <c r="H116" s="81">
        <f t="shared" si="75"/>
        <v>1</v>
      </c>
      <c r="I116" s="81">
        <f t="shared" si="75"/>
        <v>1</v>
      </c>
      <c r="J116" s="81">
        <f t="shared" si="75"/>
        <v>1</v>
      </c>
      <c r="K116" s="81">
        <f t="shared" si="75"/>
        <v>1</v>
      </c>
      <c r="L116" s="81">
        <f t="shared" si="75"/>
        <v>1</v>
      </c>
      <c r="M116" s="81">
        <f t="shared" si="75"/>
        <v>1</v>
      </c>
      <c r="N116" s="81">
        <f t="shared" si="75"/>
        <v>1</v>
      </c>
      <c r="O116" s="81">
        <f t="shared" si="75"/>
        <v>1</v>
      </c>
      <c r="P116" s="81">
        <f t="shared" si="75"/>
        <v>1</v>
      </c>
      <c r="Q116" s="81">
        <f t="shared" si="75"/>
        <v>1</v>
      </c>
      <c r="R116" s="14">
        <f t="shared" si="72"/>
        <v>0</v>
      </c>
      <c r="S116" s="14">
        <f>IF(F112=0,0,R116/$R$128)</f>
        <v>0</v>
      </c>
      <c r="T116" s="14">
        <f t="shared" si="73"/>
        <v>0</v>
      </c>
    </row>
    <row r="117" spans="1:20" x14ac:dyDescent="0.35">
      <c r="A117" s="44">
        <f>'Data Kriteria'!G10</f>
        <v>1</v>
      </c>
      <c r="B117" s="30">
        <f>'Data Kriteria'!B10</f>
        <v>0</v>
      </c>
      <c r="C117" s="81">
        <f>IF(OR(C111=1,$A$117=1),1,$A$117/C111)</f>
        <v>1</v>
      </c>
      <c r="D117" s="81">
        <f t="shared" ref="D117:Q117" si="76">IF(OR(D111=1,$A$117=1),1,$A$117/D111)</f>
        <v>1</v>
      </c>
      <c r="E117" s="81">
        <f t="shared" si="76"/>
        <v>1</v>
      </c>
      <c r="F117" s="81">
        <f t="shared" si="76"/>
        <v>1</v>
      </c>
      <c r="G117" s="81">
        <f t="shared" si="76"/>
        <v>1</v>
      </c>
      <c r="H117" s="81">
        <f t="shared" si="76"/>
        <v>1</v>
      </c>
      <c r="I117" s="81">
        <f t="shared" si="76"/>
        <v>1</v>
      </c>
      <c r="J117" s="81">
        <f t="shared" si="76"/>
        <v>1</v>
      </c>
      <c r="K117" s="81">
        <f t="shared" si="76"/>
        <v>1</v>
      </c>
      <c r="L117" s="81">
        <f t="shared" si="76"/>
        <v>1</v>
      </c>
      <c r="M117" s="81">
        <f t="shared" si="76"/>
        <v>1</v>
      </c>
      <c r="N117" s="81">
        <f t="shared" si="76"/>
        <v>1</v>
      </c>
      <c r="O117" s="81">
        <f t="shared" si="76"/>
        <v>1</v>
      </c>
      <c r="P117" s="81">
        <f t="shared" si="76"/>
        <v>1</v>
      </c>
      <c r="Q117" s="81">
        <f t="shared" si="76"/>
        <v>1</v>
      </c>
      <c r="R117" s="14">
        <f t="shared" si="72"/>
        <v>0</v>
      </c>
      <c r="S117" s="14">
        <f>IF(G112=0,0,R117/$R$128)</f>
        <v>0</v>
      </c>
      <c r="T117" s="14">
        <f t="shared" si="73"/>
        <v>0</v>
      </c>
    </row>
    <row r="118" spans="1:20" x14ac:dyDescent="0.35">
      <c r="A118" s="44">
        <f>'Data Kriteria'!G11</f>
        <v>1</v>
      </c>
      <c r="B118" s="30">
        <f>'Data Kriteria'!B11</f>
        <v>0</v>
      </c>
      <c r="C118" s="81">
        <f>IF(OR(C111=1,$A$118=1),1,$A$118/C111)</f>
        <v>1</v>
      </c>
      <c r="D118" s="81">
        <f t="shared" ref="D118:Q118" si="77">IF(OR(D111=1,$A$118=1),1,$A$118/D111)</f>
        <v>1</v>
      </c>
      <c r="E118" s="81">
        <f t="shared" si="77"/>
        <v>1</v>
      </c>
      <c r="F118" s="81">
        <f t="shared" si="77"/>
        <v>1</v>
      </c>
      <c r="G118" s="81">
        <f t="shared" si="77"/>
        <v>1</v>
      </c>
      <c r="H118" s="81">
        <f t="shared" si="77"/>
        <v>1</v>
      </c>
      <c r="I118" s="81">
        <f t="shared" si="77"/>
        <v>1</v>
      </c>
      <c r="J118" s="81">
        <f t="shared" si="77"/>
        <v>1</v>
      </c>
      <c r="K118" s="81">
        <f t="shared" si="77"/>
        <v>1</v>
      </c>
      <c r="L118" s="81">
        <f t="shared" si="77"/>
        <v>1</v>
      </c>
      <c r="M118" s="81">
        <f t="shared" si="77"/>
        <v>1</v>
      </c>
      <c r="N118" s="81">
        <f t="shared" si="77"/>
        <v>1</v>
      </c>
      <c r="O118" s="81">
        <f t="shared" si="77"/>
        <v>1</v>
      </c>
      <c r="P118" s="81">
        <f t="shared" si="77"/>
        <v>1</v>
      </c>
      <c r="Q118" s="81">
        <f t="shared" si="77"/>
        <v>1</v>
      </c>
      <c r="R118" s="14">
        <f t="shared" si="72"/>
        <v>0</v>
      </c>
      <c r="S118" s="14">
        <f>IF(H112=0,0,R118/$R$128)</f>
        <v>0</v>
      </c>
      <c r="T118" s="14">
        <f t="shared" si="73"/>
        <v>0</v>
      </c>
    </row>
    <row r="119" spans="1:20" x14ac:dyDescent="0.35">
      <c r="A119" s="44">
        <f>'Data Kriteria'!G12</f>
        <v>1</v>
      </c>
      <c r="B119" s="30">
        <f>'Data Kriteria'!B12</f>
        <v>0</v>
      </c>
      <c r="C119" s="81">
        <f>IF(OR(C111=1,$A$119=1),1,$A$119/C111)</f>
        <v>1</v>
      </c>
      <c r="D119" s="81">
        <f t="shared" ref="D119:Q119" si="78">IF(OR(D111=1,$A$119=1),1,$A$119/D111)</f>
        <v>1</v>
      </c>
      <c r="E119" s="81">
        <f t="shared" si="78"/>
        <v>1</v>
      </c>
      <c r="F119" s="81">
        <f t="shared" si="78"/>
        <v>1</v>
      </c>
      <c r="G119" s="81">
        <f t="shared" si="78"/>
        <v>1</v>
      </c>
      <c r="H119" s="81">
        <f t="shared" si="78"/>
        <v>1</v>
      </c>
      <c r="I119" s="81">
        <f t="shared" si="78"/>
        <v>1</v>
      </c>
      <c r="J119" s="81">
        <f t="shared" si="78"/>
        <v>1</v>
      </c>
      <c r="K119" s="81">
        <f t="shared" si="78"/>
        <v>1</v>
      </c>
      <c r="L119" s="81">
        <f t="shared" si="78"/>
        <v>1</v>
      </c>
      <c r="M119" s="81">
        <f t="shared" si="78"/>
        <v>1</v>
      </c>
      <c r="N119" s="81">
        <f t="shared" si="78"/>
        <v>1</v>
      </c>
      <c r="O119" s="81">
        <f t="shared" si="78"/>
        <v>1</v>
      </c>
      <c r="P119" s="81">
        <f t="shared" si="78"/>
        <v>1</v>
      </c>
      <c r="Q119" s="81">
        <f t="shared" si="78"/>
        <v>1</v>
      </c>
      <c r="R119" s="14">
        <f t="shared" si="72"/>
        <v>0</v>
      </c>
      <c r="S119" s="14">
        <f>IF(I112=0,0,R119/$R$128)</f>
        <v>0</v>
      </c>
      <c r="T119" s="14">
        <f t="shared" si="73"/>
        <v>0</v>
      </c>
    </row>
    <row r="120" spans="1:20" x14ac:dyDescent="0.35">
      <c r="A120" s="44">
        <f>'Data Kriteria'!G13</f>
        <v>1</v>
      </c>
      <c r="B120" s="30">
        <f>'Data Kriteria'!B13</f>
        <v>0</v>
      </c>
      <c r="C120" s="81">
        <f>IF(OR(C111=1,$A$120=1),1,$A$120/C111)</f>
        <v>1</v>
      </c>
      <c r="D120" s="81">
        <f t="shared" ref="D120:Q120" si="79">IF(OR(D111=1,$A$120=1),1,$A$120/D111)</f>
        <v>1</v>
      </c>
      <c r="E120" s="81">
        <f t="shared" si="79"/>
        <v>1</v>
      </c>
      <c r="F120" s="81">
        <f t="shared" si="79"/>
        <v>1</v>
      </c>
      <c r="G120" s="81">
        <f t="shared" si="79"/>
        <v>1</v>
      </c>
      <c r="H120" s="81">
        <f t="shared" si="79"/>
        <v>1</v>
      </c>
      <c r="I120" s="81">
        <f t="shared" si="79"/>
        <v>1</v>
      </c>
      <c r="J120" s="81">
        <f t="shared" si="79"/>
        <v>1</v>
      </c>
      <c r="K120" s="81">
        <f t="shared" si="79"/>
        <v>1</v>
      </c>
      <c r="L120" s="81">
        <f t="shared" si="79"/>
        <v>1</v>
      </c>
      <c r="M120" s="81">
        <f t="shared" si="79"/>
        <v>1</v>
      </c>
      <c r="N120" s="81">
        <f t="shared" si="79"/>
        <v>1</v>
      </c>
      <c r="O120" s="81">
        <f t="shared" si="79"/>
        <v>1</v>
      </c>
      <c r="P120" s="81">
        <f t="shared" si="79"/>
        <v>1</v>
      </c>
      <c r="Q120" s="81">
        <f t="shared" si="79"/>
        <v>1</v>
      </c>
      <c r="R120" s="14">
        <f t="shared" si="72"/>
        <v>0</v>
      </c>
      <c r="S120" s="14">
        <f>IF(J112=0,0,R120/$R$128)</f>
        <v>0</v>
      </c>
      <c r="T120" s="14">
        <f t="shared" si="73"/>
        <v>0</v>
      </c>
    </row>
    <row r="121" spans="1:20" x14ac:dyDescent="0.35">
      <c r="A121" s="44">
        <f>'Data Kriteria'!G14</f>
        <v>1</v>
      </c>
      <c r="B121" s="30">
        <f>'Data Kriteria'!B14</f>
        <v>0</v>
      </c>
      <c r="C121" s="81">
        <f t="shared" ref="C121:Q121" si="80">IF(OR(C111=1,$A$121=1),1,$A$121/C111)</f>
        <v>1</v>
      </c>
      <c r="D121" s="81">
        <f t="shared" si="80"/>
        <v>1</v>
      </c>
      <c r="E121" s="81">
        <f t="shared" si="80"/>
        <v>1</v>
      </c>
      <c r="F121" s="81">
        <f t="shared" si="80"/>
        <v>1</v>
      </c>
      <c r="G121" s="81">
        <f t="shared" si="80"/>
        <v>1</v>
      </c>
      <c r="H121" s="81">
        <f t="shared" si="80"/>
        <v>1</v>
      </c>
      <c r="I121" s="81">
        <f t="shared" si="80"/>
        <v>1</v>
      </c>
      <c r="J121" s="81">
        <f t="shared" si="80"/>
        <v>1</v>
      </c>
      <c r="K121" s="81">
        <f t="shared" si="80"/>
        <v>1</v>
      </c>
      <c r="L121" s="81">
        <f t="shared" si="80"/>
        <v>1</v>
      </c>
      <c r="M121" s="81">
        <f t="shared" si="80"/>
        <v>1</v>
      </c>
      <c r="N121" s="81">
        <f t="shared" si="80"/>
        <v>1</v>
      </c>
      <c r="O121" s="81">
        <f t="shared" si="80"/>
        <v>1</v>
      </c>
      <c r="P121" s="81">
        <f t="shared" si="80"/>
        <v>1</v>
      </c>
      <c r="Q121" s="81">
        <f t="shared" si="80"/>
        <v>1</v>
      </c>
      <c r="R121" s="14">
        <f t="shared" si="72"/>
        <v>0</v>
      </c>
      <c r="S121" s="14">
        <f>IF(K112=0,0,R121/$R$128)</f>
        <v>0</v>
      </c>
      <c r="T121" s="14">
        <f t="shared" si="73"/>
        <v>0</v>
      </c>
    </row>
    <row r="122" spans="1:20" x14ac:dyDescent="0.35">
      <c r="A122" s="44">
        <f>'Data Kriteria'!G15</f>
        <v>1</v>
      </c>
      <c r="B122" s="30">
        <f>'Data Kriteria'!B15</f>
        <v>0</v>
      </c>
      <c r="C122" s="81">
        <f>IF(OR(C111=1,$A$122=1),1,$A$122/C111)</f>
        <v>1</v>
      </c>
      <c r="D122" s="81">
        <f t="shared" ref="D122:Q122" si="81">IF(OR(D111=1,$A$122=1),1,$A$122/D111)</f>
        <v>1</v>
      </c>
      <c r="E122" s="81">
        <f t="shared" si="81"/>
        <v>1</v>
      </c>
      <c r="F122" s="81">
        <f t="shared" si="81"/>
        <v>1</v>
      </c>
      <c r="G122" s="81">
        <f t="shared" si="81"/>
        <v>1</v>
      </c>
      <c r="H122" s="81">
        <f t="shared" si="81"/>
        <v>1</v>
      </c>
      <c r="I122" s="81">
        <f t="shared" si="81"/>
        <v>1</v>
      </c>
      <c r="J122" s="81">
        <f t="shared" si="81"/>
        <v>1</v>
      </c>
      <c r="K122" s="81">
        <f t="shared" si="81"/>
        <v>1</v>
      </c>
      <c r="L122" s="81">
        <f t="shared" si="81"/>
        <v>1</v>
      </c>
      <c r="M122" s="81">
        <f t="shared" si="81"/>
        <v>1</v>
      </c>
      <c r="N122" s="81">
        <f t="shared" si="81"/>
        <v>1</v>
      </c>
      <c r="O122" s="81">
        <f t="shared" si="81"/>
        <v>1</v>
      </c>
      <c r="P122" s="81">
        <f t="shared" si="81"/>
        <v>1</v>
      </c>
      <c r="Q122" s="81">
        <f t="shared" si="81"/>
        <v>1</v>
      </c>
      <c r="R122" s="14">
        <f t="shared" si="72"/>
        <v>0</v>
      </c>
      <c r="S122" s="14">
        <f>IF(L112=0,0,R122/$R$128)</f>
        <v>0</v>
      </c>
      <c r="T122" s="14">
        <f t="shared" si="73"/>
        <v>0</v>
      </c>
    </row>
    <row r="123" spans="1:20" x14ac:dyDescent="0.35">
      <c r="A123" s="44">
        <f>'Data Kriteria'!G16</f>
        <v>1</v>
      </c>
      <c r="B123" s="30">
        <f>'Data Kriteria'!B16</f>
        <v>0</v>
      </c>
      <c r="C123" s="81">
        <f>IF(OR(C111=1,$A$123=1),1,$A$123/C111)</f>
        <v>1</v>
      </c>
      <c r="D123" s="81">
        <f t="shared" ref="D123:Q123" si="82">IF(OR(D111=1,$A$123=1),1,$A$123/D111)</f>
        <v>1</v>
      </c>
      <c r="E123" s="81">
        <f t="shared" si="82"/>
        <v>1</v>
      </c>
      <c r="F123" s="81">
        <f t="shared" si="82"/>
        <v>1</v>
      </c>
      <c r="G123" s="81">
        <f t="shared" si="82"/>
        <v>1</v>
      </c>
      <c r="H123" s="81">
        <f t="shared" si="82"/>
        <v>1</v>
      </c>
      <c r="I123" s="81">
        <f t="shared" si="82"/>
        <v>1</v>
      </c>
      <c r="J123" s="81">
        <f t="shared" si="82"/>
        <v>1</v>
      </c>
      <c r="K123" s="81">
        <f t="shared" si="82"/>
        <v>1</v>
      </c>
      <c r="L123" s="81">
        <f t="shared" si="82"/>
        <v>1</v>
      </c>
      <c r="M123" s="81">
        <f t="shared" si="82"/>
        <v>1</v>
      </c>
      <c r="N123" s="81">
        <f t="shared" si="82"/>
        <v>1</v>
      </c>
      <c r="O123" s="81">
        <f t="shared" si="82"/>
        <v>1</v>
      </c>
      <c r="P123" s="81">
        <f t="shared" si="82"/>
        <v>1</v>
      </c>
      <c r="Q123" s="81">
        <f t="shared" si="82"/>
        <v>1</v>
      </c>
      <c r="R123" s="14">
        <f t="shared" si="72"/>
        <v>0</v>
      </c>
      <c r="S123" s="14">
        <f>IF(M112=0,0,R123/$R$128)</f>
        <v>0</v>
      </c>
      <c r="T123" s="14">
        <f t="shared" si="73"/>
        <v>0</v>
      </c>
    </row>
    <row r="124" spans="1:20" x14ac:dyDescent="0.35">
      <c r="A124" s="44">
        <f>'Data Kriteria'!G17</f>
        <v>1</v>
      </c>
      <c r="B124" s="30">
        <f>'Data Kriteria'!B17</f>
        <v>0</v>
      </c>
      <c r="C124" s="81">
        <f>IF(OR(C111=1,$A$124=1),1,$A$124/C111)</f>
        <v>1</v>
      </c>
      <c r="D124" s="81">
        <f t="shared" ref="D124:Q124" si="83">IF(OR(D111=1,$A$124=1),1,$A$124/D111)</f>
        <v>1</v>
      </c>
      <c r="E124" s="81">
        <f t="shared" si="83"/>
        <v>1</v>
      </c>
      <c r="F124" s="81">
        <f t="shared" si="83"/>
        <v>1</v>
      </c>
      <c r="G124" s="81">
        <f t="shared" si="83"/>
        <v>1</v>
      </c>
      <c r="H124" s="81">
        <f t="shared" si="83"/>
        <v>1</v>
      </c>
      <c r="I124" s="81">
        <f t="shared" si="83"/>
        <v>1</v>
      </c>
      <c r="J124" s="81">
        <f t="shared" si="83"/>
        <v>1</v>
      </c>
      <c r="K124" s="81">
        <f t="shared" si="83"/>
        <v>1</v>
      </c>
      <c r="L124" s="81">
        <f t="shared" si="83"/>
        <v>1</v>
      </c>
      <c r="M124" s="81">
        <f t="shared" si="83"/>
        <v>1</v>
      </c>
      <c r="N124" s="81">
        <f t="shared" si="83"/>
        <v>1</v>
      </c>
      <c r="O124" s="81">
        <f t="shared" si="83"/>
        <v>1</v>
      </c>
      <c r="P124" s="81">
        <f t="shared" si="83"/>
        <v>1</v>
      </c>
      <c r="Q124" s="81">
        <f t="shared" si="83"/>
        <v>1</v>
      </c>
      <c r="R124" s="14">
        <f t="shared" si="72"/>
        <v>0</v>
      </c>
      <c r="S124" s="14">
        <f>IF(N112=0,0,R124/$R$128)</f>
        <v>0</v>
      </c>
      <c r="T124" s="14">
        <f t="shared" si="73"/>
        <v>0</v>
      </c>
    </row>
    <row r="125" spans="1:20" x14ac:dyDescent="0.35">
      <c r="A125" s="44">
        <f>'Data Kriteria'!G18</f>
        <v>1</v>
      </c>
      <c r="B125" s="30">
        <f>'Data Kriteria'!B18</f>
        <v>0</v>
      </c>
      <c r="C125" s="81">
        <f>IF(OR(C111=1,$A$125=1),1,$A$125/C111)</f>
        <v>1</v>
      </c>
      <c r="D125" s="81">
        <f t="shared" ref="D125:Q125" si="84">IF(OR(D111=1,$A$125=1),1,$A$125/D111)</f>
        <v>1</v>
      </c>
      <c r="E125" s="81">
        <f t="shared" si="84"/>
        <v>1</v>
      </c>
      <c r="F125" s="81">
        <f t="shared" si="84"/>
        <v>1</v>
      </c>
      <c r="G125" s="81">
        <f t="shared" si="84"/>
        <v>1</v>
      </c>
      <c r="H125" s="81">
        <f t="shared" si="84"/>
        <v>1</v>
      </c>
      <c r="I125" s="81">
        <f t="shared" si="84"/>
        <v>1</v>
      </c>
      <c r="J125" s="81">
        <f t="shared" si="84"/>
        <v>1</v>
      </c>
      <c r="K125" s="81">
        <f t="shared" si="84"/>
        <v>1</v>
      </c>
      <c r="L125" s="81">
        <f t="shared" si="84"/>
        <v>1</v>
      </c>
      <c r="M125" s="81">
        <f t="shared" si="84"/>
        <v>1</v>
      </c>
      <c r="N125" s="81">
        <f t="shared" si="84"/>
        <v>1</v>
      </c>
      <c r="O125" s="81">
        <f t="shared" si="84"/>
        <v>1</v>
      </c>
      <c r="P125" s="81">
        <f t="shared" si="84"/>
        <v>1</v>
      </c>
      <c r="Q125" s="81">
        <f t="shared" si="84"/>
        <v>1</v>
      </c>
      <c r="R125" s="14">
        <f t="shared" si="72"/>
        <v>0</v>
      </c>
      <c r="S125" s="14">
        <f>IF(O112=0,0,R125/$R$128)</f>
        <v>0</v>
      </c>
      <c r="T125" s="14">
        <f t="shared" si="73"/>
        <v>0</v>
      </c>
    </row>
    <row r="126" spans="1:20" x14ac:dyDescent="0.35">
      <c r="A126" s="44">
        <f>'Data Kriteria'!G19</f>
        <v>1</v>
      </c>
      <c r="B126" s="30">
        <f>'Data Kriteria'!B19</f>
        <v>0</v>
      </c>
      <c r="C126" s="81">
        <f>IF(OR(C111=1,$A$126=1),1,$A$126/C111)</f>
        <v>1</v>
      </c>
      <c r="D126" s="81">
        <f t="shared" ref="D126:Q126" si="85">IF(OR(D111=1,$A$126=1),1,$A$126/D111)</f>
        <v>1</v>
      </c>
      <c r="E126" s="81">
        <f t="shared" si="85"/>
        <v>1</v>
      </c>
      <c r="F126" s="81">
        <f t="shared" si="85"/>
        <v>1</v>
      </c>
      <c r="G126" s="81">
        <f t="shared" si="85"/>
        <v>1</v>
      </c>
      <c r="H126" s="81">
        <f t="shared" si="85"/>
        <v>1</v>
      </c>
      <c r="I126" s="81">
        <f t="shared" si="85"/>
        <v>1</v>
      </c>
      <c r="J126" s="81">
        <f t="shared" si="85"/>
        <v>1</v>
      </c>
      <c r="K126" s="81">
        <f t="shared" si="85"/>
        <v>1</v>
      </c>
      <c r="L126" s="81">
        <f t="shared" si="85"/>
        <v>1</v>
      </c>
      <c r="M126" s="81">
        <f t="shared" si="85"/>
        <v>1</v>
      </c>
      <c r="N126" s="81">
        <f t="shared" si="85"/>
        <v>1</v>
      </c>
      <c r="O126" s="81">
        <f t="shared" si="85"/>
        <v>1</v>
      </c>
      <c r="P126" s="81">
        <f t="shared" si="85"/>
        <v>1</v>
      </c>
      <c r="Q126" s="81">
        <f t="shared" si="85"/>
        <v>1</v>
      </c>
      <c r="R126" s="14">
        <f t="shared" si="72"/>
        <v>0</v>
      </c>
      <c r="S126" s="14">
        <f>IF(P112=0,0,R126/$R$128)</f>
        <v>0</v>
      </c>
      <c r="T126" s="14">
        <f t="shared" si="73"/>
        <v>0</v>
      </c>
    </row>
    <row r="127" spans="1:20" x14ac:dyDescent="0.35">
      <c r="A127" s="44">
        <f>'Data Kriteria'!G20</f>
        <v>1</v>
      </c>
      <c r="B127" s="30">
        <f>'Data Kriteria'!B20</f>
        <v>0</v>
      </c>
      <c r="C127" s="81">
        <f>IF(OR(C111=1,$A$127=1),1,$A$127/C111)</f>
        <v>1</v>
      </c>
      <c r="D127" s="81">
        <f t="shared" ref="D127:Q127" si="86">IF(OR(D111=1,$A$127=1),1,$A$127/D111)</f>
        <v>1</v>
      </c>
      <c r="E127" s="81">
        <f t="shared" si="86"/>
        <v>1</v>
      </c>
      <c r="F127" s="81">
        <f t="shared" si="86"/>
        <v>1</v>
      </c>
      <c r="G127" s="81">
        <f t="shared" si="86"/>
        <v>1</v>
      </c>
      <c r="H127" s="81">
        <f t="shared" si="86"/>
        <v>1</v>
      </c>
      <c r="I127" s="81">
        <f t="shared" si="86"/>
        <v>1</v>
      </c>
      <c r="J127" s="81">
        <f t="shared" si="86"/>
        <v>1</v>
      </c>
      <c r="K127" s="81">
        <f t="shared" si="86"/>
        <v>1</v>
      </c>
      <c r="L127" s="81">
        <f t="shared" si="86"/>
        <v>1</v>
      </c>
      <c r="M127" s="81">
        <f t="shared" si="86"/>
        <v>1</v>
      </c>
      <c r="N127" s="81">
        <f t="shared" si="86"/>
        <v>1</v>
      </c>
      <c r="O127" s="81">
        <f t="shared" si="86"/>
        <v>1</v>
      </c>
      <c r="P127" s="81">
        <f t="shared" si="86"/>
        <v>1</v>
      </c>
      <c r="Q127" s="81">
        <f t="shared" si="86"/>
        <v>1</v>
      </c>
      <c r="R127" s="14">
        <f t="shared" si="72"/>
        <v>0</v>
      </c>
      <c r="S127" s="14">
        <f>IF(Q112=0,0,R127/$R$128)</f>
        <v>0</v>
      </c>
      <c r="T127" s="14">
        <f t="shared" si="73"/>
        <v>0</v>
      </c>
    </row>
    <row r="128" spans="1:20" x14ac:dyDescent="0.35">
      <c r="R128" s="14">
        <f>SUM(R113:R127)</f>
        <v>0</v>
      </c>
      <c r="S128" s="14">
        <f>SUM(S113:S127)</f>
        <v>0</v>
      </c>
      <c r="T128" s="15">
        <f>MAX(T113:T127)</f>
        <v>0</v>
      </c>
    </row>
    <row r="130" spans="1:20" ht="15" thickBot="1" x14ac:dyDescent="0.4">
      <c r="S130" s="5" t="s">
        <v>49</v>
      </c>
      <c r="T130" s="16">
        <f>T128</f>
        <v>0</v>
      </c>
    </row>
    <row r="131" spans="1:20" ht="15" thickBot="1" x14ac:dyDescent="0.4">
      <c r="B131" s="4" t="s">
        <v>38</v>
      </c>
      <c r="C131" s="4"/>
      <c r="D131" s="4"/>
      <c r="E131" s="51">
        <f>E104</f>
        <v>0</v>
      </c>
      <c r="S131" s="6" t="s">
        <v>39</v>
      </c>
      <c r="T131" s="3">
        <f>(T130-E131)/(E131-1)</f>
        <v>0</v>
      </c>
    </row>
    <row r="132" spans="1:20" x14ac:dyDescent="0.35">
      <c r="S132" s="6" t="s">
        <v>40</v>
      </c>
      <c r="T132" s="57" t="b">
        <f>IF(E131=E133,E134,IF(E131=F133,F134,IF(E131=G133,G134,IF(E131=H133,H134,IF(E131=I133,I134,IF(E131=J133,J134,IF(E131=K133,K134,IF(E131=L133,L134,IF(E131=M133,M134,IF(E131=N133,N134,IF(E131=O133,O134,IF(E131=P133,P134,IF(E131=Q133,Q134)))))))))))))</f>
        <v>0</v>
      </c>
    </row>
    <row r="133" spans="1:20" x14ac:dyDescent="0.35">
      <c r="B133" s="2" t="s">
        <v>41</v>
      </c>
      <c r="C133" s="2">
        <v>1</v>
      </c>
      <c r="D133" s="2">
        <v>2</v>
      </c>
      <c r="E133" s="2">
        <v>3</v>
      </c>
      <c r="F133" s="2">
        <v>4</v>
      </c>
      <c r="G133" s="2">
        <v>5</v>
      </c>
      <c r="H133" s="2">
        <v>6</v>
      </c>
      <c r="I133" s="2">
        <v>7</v>
      </c>
      <c r="J133" s="2">
        <v>8</v>
      </c>
      <c r="K133" s="2">
        <v>9</v>
      </c>
      <c r="L133" s="2">
        <v>10</v>
      </c>
      <c r="M133" s="2">
        <v>11</v>
      </c>
      <c r="N133" s="2">
        <v>12</v>
      </c>
      <c r="O133" s="2">
        <v>13</v>
      </c>
      <c r="P133" s="2">
        <v>14</v>
      </c>
      <c r="Q133" s="2">
        <v>15</v>
      </c>
      <c r="S133" s="6" t="s">
        <v>42</v>
      </c>
      <c r="T133" s="16" t="e">
        <f>T131/T132</f>
        <v>#DIV/0!</v>
      </c>
    </row>
    <row r="134" spans="1:20" x14ac:dyDescent="0.35">
      <c r="B134" s="2" t="s">
        <v>40</v>
      </c>
      <c r="C134" s="87">
        <v>0</v>
      </c>
      <c r="D134" s="87">
        <v>0</v>
      </c>
      <c r="E134" s="87">
        <v>0.57999999999999996</v>
      </c>
      <c r="F134" s="87">
        <v>0.9</v>
      </c>
      <c r="G134" s="87">
        <v>1.1200000000000001</v>
      </c>
      <c r="H134" s="87">
        <v>1.24</v>
      </c>
      <c r="I134" s="87">
        <v>1.32</v>
      </c>
      <c r="J134" s="87">
        <v>1.41</v>
      </c>
      <c r="K134" s="87">
        <v>1.45</v>
      </c>
      <c r="L134" s="87">
        <v>1.49</v>
      </c>
      <c r="M134" s="87">
        <v>1.51</v>
      </c>
      <c r="N134" s="87">
        <v>1.54</v>
      </c>
      <c r="O134" s="87">
        <v>1.56</v>
      </c>
      <c r="P134" s="87">
        <v>1.57</v>
      </c>
      <c r="Q134" s="87">
        <v>1.58</v>
      </c>
    </row>
    <row r="135" spans="1:20" x14ac:dyDescent="0.35">
      <c r="S135" s="6" t="s">
        <v>43</v>
      </c>
      <c r="T135" s="1" t="s">
        <v>44</v>
      </c>
    </row>
    <row r="136" spans="1:20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x14ac:dyDescent="0.35">
      <c r="A137" s="46" t="s">
        <v>46</v>
      </c>
      <c r="B137" s="88">
        <f>'Data Kriteria'!H5</f>
        <v>0</v>
      </c>
    </row>
    <row r="138" spans="1:20" x14ac:dyDescent="0.35">
      <c r="C138" s="44" cm="1">
        <f t="array" ref="C138:Q138">TRANSPOSE(A140:A154)</f>
        <v>1</v>
      </c>
      <c r="D138" s="44">
        <v>1</v>
      </c>
      <c r="E138" s="44">
        <v>1</v>
      </c>
      <c r="F138" s="44">
        <v>1</v>
      </c>
      <c r="G138" s="44">
        <v>1</v>
      </c>
      <c r="H138" s="44">
        <v>1</v>
      </c>
      <c r="I138" s="44">
        <v>1</v>
      </c>
      <c r="J138" s="44">
        <v>1</v>
      </c>
      <c r="K138" s="44">
        <v>1</v>
      </c>
      <c r="L138" s="44">
        <v>1</v>
      </c>
      <c r="M138" s="44">
        <v>1</v>
      </c>
      <c r="N138" s="44">
        <v>1</v>
      </c>
      <c r="O138" s="44">
        <v>1</v>
      </c>
      <c r="P138" s="44">
        <v>1</v>
      </c>
      <c r="Q138" s="44">
        <v>1</v>
      </c>
    </row>
    <row r="139" spans="1:20" x14ac:dyDescent="0.35">
      <c r="B139" s="83">
        <v>6</v>
      </c>
      <c r="C139" s="30" cm="1">
        <f t="array" ref="C139:Q139">TRANSPOSE(B140:B154)</f>
        <v>0</v>
      </c>
      <c r="D139" s="30">
        <v>0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86" t="s">
        <v>47</v>
      </c>
      <c r="S139" s="45" t="s">
        <v>35</v>
      </c>
      <c r="T139" s="45" t="s">
        <v>48</v>
      </c>
    </row>
    <row r="140" spans="1:20" x14ac:dyDescent="0.35">
      <c r="A140" s="44">
        <f>'Data Kriteria'!H6</f>
        <v>1</v>
      </c>
      <c r="B140" s="30">
        <f>'Data Kriteria'!B6</f>
        <v>0</v>
      </c>
      <c r="C140" s="81">
        <f>IF(OR(C138=1,$A$140=1),1,$A$140/C138)</f>
        <v>1</v>
      </c>
      <c r="D140" s="81">
        <f t="shared" ref="D140:Q140" si="87">IF(OR(D138=1,$A$140=1),1,$A$140/D138)</f>
        <v>1</v>
      </c>
      <c r="E140" s="81">
        <f t="shared" si="87"/>
        <v>1</v>
      </c>
      <c r="F140" s="81">
        <f t="shared" si="87"/>
        <v>1</v>
      </c>
      <c r="G140" s="81">
        <f t="shared" si="87"/>
        <v>1</v>
      </c>
      <c r="H140" s="81">
        <f t="shared" si="87"/>
        <v>1</v>
      </c>
      <c r="I140" s="81">
        <f t="shared" si="87"/>
        <v>1</v>
      </c>
      <c r="J140" s="81">
        <f t="shared" si="87"/>
        <v>1</v>
      </c>
      <c r="K140" s="81">
        <f t="shared" si="87"/>
        <v>1</v>
      </c>
      <c r="L140" s="81">
        <f t="shared" si="87"/>
        <v>1</v>
      </c>
      <c r="M140" s="81">
        <f t="shared" si="87"/>
        <v>1</v>
      </c>
      <c r="N140" s="81">
        <f t="shared" si="87"/>
        <v>1</v>
      </c>
      <c r="O140" s="81">
        <f t="shared" si="87"/>
        <v>1</v>
      </c>
      <c r="P140" s="81">
        <f t="shared" si="87"/>
        <v>1</v>
      </c>
      <c r="Q140" s="81">
        <f t="shared" si="87"/>
        <v>1</v>
      </c>
      <c r="R140" s="14">
        <f>IF(A140=1,0,(C140*D140*E140*F140*G140*H140*I140*J140*K140*L140*M140*N140*O140*P140*Q140)^(1/$E$158))</f>
        <v>0</v>
      </c>
      <c r="S140" s="14">
        <f>IF(C139=0,0,R140/$R$155)</f>
        <v>0</v>
      </c>
      <c r="T140" s="14">
        <f>IF(A140=1,0,(C140*$S$113+D140*$S$114+E140*$S$115+F140*$S$116+G140*$S$117+H140*$S$118+I140*$S$119+J140*$S$120+K140*$S$121+L140*$S$122+M140*$S$123+N140*$S$124+O140*$S$125+P140*$S$126+Q140*$S$127)/S140)</f>
        <v>0</v>
      </c>
    </row>
    <row r="141" spans="1:20" x14ac:dyDescent="0.35">
      <c r="A141" s="44">
        <f>'Data Kriteria'!H7</f>
        <v>1</v>
      </c>
      <c r="B141" s="30">
        <f>'Data Kriteria'!B7</f>
        <v>0</v>
      </c>
      <c r="C141" s="81">
        <f>IF(OR(C138=1,$A$141=1),1,$A$141/C138)</f>
        <v>1</v>
      </c>
      <c r="D141" s="81">
        <f t="shared" ref="D141:Q141" si="88">IF(OR(D138=1,$A$141=1),1,$A$141/D138)</f>
        <v>1</v>
      </c>
      <c r="E141" s="81">
        <f t="shared" si="88"/>
        <v>1</v>
      </c>
      <c r="F141" s="81">
        <f t="shared" si="88"/>
        <v>1</v>
      </c>
      <c r="G141" s="81">
        <f t="shared" si="88"/>
        <v>1</v>
      </c>
      <c r="H141" s="81">
        <f t="shared" si="88"/>
        <v>1</v>
      </c>
      <c r="I141" s="81">
        <f t="shared" si="88"/>
        <v>1</v>
      </c>
      <c r="J141" s="81">
        <f t="shared" si="88"/>
        <v>1</v>
      </c>
      <c r="K141" s="81">
        <f t="shared" si="88"/>
        <v>1</v>
      </c>
      <c r="L141" s="81">
        <f t="shared" si="88"/>
        <v>1</v>
      </c>
      <c r="M141" s="81">
        <f t="shared" si="88"/>
        <v>1</v>
      </c>
      <c r="N141" s="81">
        <f t="shared" si="88"/>
        <v>1</v>
      </c>
      <c r="O141" s="81">
        <f t="shared" si="88"/>
        <v>1</v>
      </c>
      <c r="P141" s="81">
        <f t="shared" si="88"/>
        <v>1</v>
      </c>
      <c r="Q141" s="81">
        <f t="shared" si="88"/>
        <v>1</v>
      </c>
      <c r="R141" s="14">
        <f t="shared" ref="R141:R154" si="89">IF(A141=1,0,(C141*D141*E141*F141*G141*H141*I141*J141*K141*L141*M141*N141*O141*P141*Q141)^(1/$E$158))</f>
        <v>0</v>
      </c>
      <c r="S141" s="14">
        <f>IF(D139=0,0,R141/$R$155)</f>
        <v>0</v>
      </c>
      <c r="T141" s="14">
        <f t="shared" ref="T141:T154" si="90">IF(A141=1,0,(C141*$S$113+D141*$S$114+E141*$S$115+F141*$S$116+G141*$S$117+H141*$S$118+I141*$S$119+J141*$S$120+K141*$S$121+L141*$S$122+M141*$S$123+N141*$S$124+O141*$S$125+P141*$S$126+Q141*$S$127)/S141)</f>
        <v>0</v>
      </c>
    </row>
    <row r="142" spans="1:20" x14ac:dyDescent="0.35">
      <c r="A142" s="44">
        <f>'Data Kriteria'!H8</f>
        <v>1</v>
      </c>
      <c r="B142" s="30">
        <f>'Data Kriteria'!B8</f>
        <v>0</v>
      </c>
      <c r="C142" s="81">
        <f>IF(OR(C138=1,$A$142=1),1,$A$142/C138)</f>
        <v>1</v>
      </c>
      <c r="D142" s="81">
        <f t="shared" ref="D142:Q142" si="91">IF(OR(D138=1,$A$142=1),1,$A$142/D138)</f>
        <v>1</v>
      </c>
      <c r="E142" s="81">
        <f t="shared" si="91"/>
        <v>1</v>
      </c>
      <c r="F142" s="81">
        <f t="shared" si="91"/>
        <v>1</v>
      </c>
      <c r="G142" s="81">
        <f t="shared" si="91"/>
        <v>1</v>
      </c>
      <c r="H142" s="81">
        <f t="shared" si="91"/>
        <v>1</v>
      </c>
      <c r="I142" s="81">
        <f t="shared" si="91"/>
        <v>1</v>
      </c>
      <c r="J142" s="81">
        <f t="shared" si="91"/>
        <v>1</v>
      </c>
      <c r="K142" s="81">
        <f t="shared" si="91"/>
        <v>1</v>
      </c>
      <c r="L142" s="81">
        <f t="shared" si="91"/>
        <v>1</v>
      </c>
      <c r="M142" s="81">
        <f t="shared" si="91"/>
        <v>1</v>
      </c>
      <c r="N142" s="81">
        <f t="shared" si="91"/>
        <v>1</v>
      </c>
      <c r="O142" s="81">
        <f t="shared" si="91"/>
        <v>1</v>
      </c>
      <c r="P142" s="81">
        <f t="shared" si="91"/>
        <v>1</v>
      </c>
      <c r="Q142" s="81">
        <f t="shared" si="91"/>
        <v>1</v>
      </c>
      <c r="R142" s="14">
        <f t="shared" si="89"/>
        <v>0</v>
      </c>
      <c r="S142" s="14">
        <f>IF(E139=0,0,R142/$R$155)</f>
        <v>0</v>
      </c>
      <c r="T142" s="14">
        <f t="shared" si="90"/>
        <v>0</v>
      </c>
    </row>
    <row r="143" spans="1:20" x14ac:dyDescent="0.35">
      <c r="A143" s="44">
        <f>'Data Kriteria'!H9</f>
        <v>1</v>
      </c>
      <c r="B143" s="30">
        <f>'Data Kriteria'!B9</f>
        <v>0</v>
      </c>
      <c r="C143" s="81">
        <f>IF(OR(C138=1,$A$143=1),1,$A$143/C138)</f>
        <v>1</v>
      </c>
      <c r="D143" s="81">
        <f t="shared" ref="D143:Q143" si="92">IF(OR(D138=1,$A$143=1),1,$A$143/D138)</f>
        <v>1</v>
      </c>
      <c r="E143" s="81">
        <f t="shared" si="92"/>
        <v>1</v>
      </c>
      <c r="F143" s="81">
        <f t="shared" si="92"/>
        <v>1</v>
      </c>
      <c r="G143" s="81">
        <f t="shared" si="92"/>
        <v>1</v>
      </c>
      <c r="H143" s="81">
        <f t="shared" si="92"/>
        <v>1</v>
      </c>
      <c r="I143" s="81">
        <f t="shared" si="92"/>
        <v>1</v>
      </c>
      <c r="J143" s="81">
        <f t="shared" si="92"/>
        <v>1</v>
      </c>
      <c r="K143" s="81">
        <f t="shared" si="92"/>
        <v>1</v>
      </c>
      <c r="L143" s="81">
        <f t="shared" si="92"/>
        <v>1</v>
      </c>
      <c r="M143" s="81">
        <f t="shared" si="92"/>
        <v>1</v>
      </c>
      <c r="N143" s="81">
        <f t="shared" si="92"/>
        <v>1</v>
      </c>
      <c r="O143" s="81">
        <f t="shared" si="92"/>
        <v>1</v>
      </c>
      <c r="P143" s="81">
        <f t="shared" si="92"/>
        <v>1</v>
      </c>
      <c r="Q143" s="81">
        <f t="shared" si="92"/>
        <v>1</v>
      </c>
      <c r="R143" s="14">
        <f t="shared" si="89"/>
        <v>0</v>
      </c>
      <c r="S143" s="14">
        <f>IF(F139=0,0,R143/$R$155)</f>
        <v>0</v>
      </c>
      <c r="T143" s="14">
        <f t="shared" si="90"/>
        <v>0</v>
      </c>
    </row>
    <row r="144" spans="1:20" x14ac:dyDescent="0.35">
      <c r="A144" s="44">
        <f>'Data Kriteria'!H10</f>
        <v>1</v>
      </c>
      <c r="B144" s="30">
        <f>'Data Kriteria'!B10</f>
        <v>0</v>
      </c>
      <c r="C144" s="81">
        <f>IF(OR(C138=1,$A$144=1),1,$A$144/C138)</f>
        <v>1</v>
      </c>
      <c r="D144" s="81">
        <f t="shared" ref="D144:Q144" si="93">IF(OR(D138=1,$A$144=1),1,$A$144/D138)</f>
        <v>1</v>
      </c>
      <c r="E144" s="81">
        <f t="shared" si="93"/>
        <v>1</v>
      </c>
      <c r="F144" s="81">
        <f t="shared" si="93"/>
        <v>1</v>
      </c>
      <c r="G144" s="81">
        <f t="shared" si="93"/>
        <v>1</v>
      </c>
      <c r="H144" s="81">
        <f t="shared" si="93"/>
        <v>1</v>
      </c>
      <c r="I144" s="81">
        <f t="shared" si="93"/>
        <v>1</v>
      </c>
      <c r="J144" s="81">
        <f t="shared" si="93"/>
        <v>1</v>
      </c>
      <c r="K144" s="81">
        <f t="shared" si="93"/>
        <v>1</v>
      </c>
      <c r="L144" s="81">
        <f t="shared" si="93"/>
        <v>1</v>
      </c>
      <c r="M144" s="81">
        <f t="shared" si="93"/>
        <v>1</v>
      </c>
      <c r="N144" s="81">
        <f t="shared" si="93"/>
        <v>1</v>
      </c>
      <c r="O144" s="81">
        <f t="shared" si="93"/>
        <v>1</v>
      </c>
      <c r="P144" s="81">
        <f t="shared" si="93"/>
        <v>1</v>
      </c>
      <c r="Q144" s="81">
        <f t="shared" si="93"/>
        <v>1</v>
      </c>
      <c r="R144" s="14">
        <f t="shared" si="89"/>
        <v>0</v>
      </c>
      <c r="S144" s="14">
        <f>IF(G139=0,0,R144/$R$155)</f>
        <v>0</v>
      </c>
      <c r="T144" s="14">
        <f t="shared" si="90"/>
        <v>0</v>
      </c>
    </row>
    <row r="145" spans="1:20" x14ac:dyDescent="0.35">
      <c r="A145" s="44">
        <f>'Data Kriteria'!H11</f>
        <v>1</v>
      </c>
      <c r="B145" s="30">
        <f>'Data Kriteria'!B11</f>
        <v>0</v>
      </c>
      <c r="C145" s="81">
        <f>IF(OR(C138=1,$A$145=1),1,$A$145/C138)</f>
        <v>1</v>
      </c>
      <c r="D145" s="81">
        <f t="shared" ref="D145:Q145" si="94">IF(OR(D138=1,$A$145=1),1,$A$145/D138)</f>
        <v>1</v>
      </c>
      <c r="E145" s="81">
        <f t="shared" si="94"/>
        <v>1</v>
      </c>
      <c r="F145" s="81">
        <f t="shared" si="94"/>
        <v>1</v>
      </c>
      <c r="G145" s="81">
        <f t="shared" si="94"/>
        <v>1</v>
      </c>
      <c r="H145" s="81">
        <f t="shared" si="94"/>
        <v>1</v>
      </c>
      <c r="I145" s="81">
        <f t="shared" si="94"/>
        <v>1</v>
      </c>
      <c r="J145" s="81">
        <f t="shared" si="94"/>
        <v>1</v>
      </c>
      <c r="K145" s="81">
        <f t="shared" si="94"/>
        <v>1</v>
      </c>
      <c r="L145" s="81">
        <f t="shared" si="94"/>
        <v>1</v>
      </c>
      <c r="M145" s="81">
        <f t="shared" si="94"/>
        <v>1</v>
      </c>
      <c r="N145" s="81">
        <f t="shared" si="94"/>
        <v>1</v>
      </c>
      <c r="O145" s="81">
        <f t="shared" si="94"/>
        <v>1</v>
      </c>
      <c r="P145" s="81">
        <f t="shared" si="94"/>
        <v>1</v>
      </c>
      <c r="Q145" s="81">
        <f t="shared" si="94"/>
        <v>1</v>
      </c>
      <c r="R145" s="14">
        <f t="shared" si="89"/>
        <v>0</v>
      </c>
      <c r="S145" s="14">
        <f>IF(H1394=0,0,R145/$R$155)</f>
        <v>0</v>
      </c>
      <c r="T145" s="14">
        <f t="shared" si="90"/>
        <v>0</v>
      </c>
    </row>
    <row r="146" spans="1:20" x14ac:dyDescent="0.35">
      <c r="A146" s="44">
        <f>'Data Kriteria'!H12</f>
        <v>1</v>
      </c>
      <c r="B146" s="30">
        <f>'Data Kriteria'!B12</f>
        <v>0</v>
      </c>
      <c r="C146" s="81">
        <f>IF(OR(C138=1,$A$146=1),1,$A$146/C138)</f>
        <v>1</v>
      </c>
      <c r="D146" s="81">
        <f t="shared" ref="D146:Q146" si="95">IF(OR(D138=1,$A$146=1),1,$A$146/D138)</f>
        <v>1</v>
      </c>
      <c r="E146" s="81">
        <f t="shared" si="95"/>
        <v>1</v>
      </c>
      <c r="F146" s="81">
        <f t="shared" si="95"/>
        <v>1</v>
      </c>
      <c r="G146" s="81">
        <f t="shared" si="95"/>
        <v>1</v>
      </c>
      <c r="H146" s="81">
        <f t="shared" si="95"/>
        <v>1</v>
      </c>
      <c r="I146" s="81">
        <f t="shared" si="95"/>
        <v>1</v>
      </c>
      <c r="J146" s="81">
        <f t="shared" si="95"/>
        <v>1</v>
      </c>
      <c r="K146" s="81">
        <f t="shared" si="95"/>
        <v>1</v>
      </c>
      <c r="L146" s="81">
        <f t="shared" si="95"/>
        <v>1</v>
      </c>
      <c r="M146" s="81">
        <f t="shared" si="95"/>
        <v>1</v>
      </c>
      <c r="N146" s="81">
        <f t="shared" si="95"/>
        <v>1</v>
      </c>
      <c r="O146" s="81">
        <f t="shared" si="95"/>
        <v>1</v>
      </c>
      <c r="P146" s="81">
        <f t="shared" si="95"/>
        <v>1</v>
      </c>
      <c r="Q146" s="81">
        <f t="shared" si="95"/>
        <v>1</v>
      </c>
      <c r="R146" s="14">
        <f t="shared" si="89"/>
        <v>0</v>
      </c>
      <c r="S146" s="14">
        <f>IF(I139=0,0,R146/$R$155)</f>
        <v>0</v>
      </c>
      <c r="T146" s="14">
        <f t="shared" si="90"/>
        <v>0</v>
      </c>
    </row>
    <row r="147" spans="1:20" x14ac:dyDescent="0.35">
      <c r="A147" s="44">
        <f>'Data Kriteria'!H13</f>
        <v>1</v>
      </c>
      <c r="B147" s="30">
        <f>'Data Kriteria'!B13</f>
        <v>0</v>
      </c>
      <c r="C147" s="81">
        <f>IF(OR(C138=1,$A$147=1),1,$A$147/C138)</f>
        <v>1</v>
      </c>
      <c r="D147" s="81">
        <f t="shared" ref="D147:Q147" si="96">IF(OR(D138=1,$A$147=1),1,$A$147/D138)</f>
        <v>1</v>
      </c>
      <c r="E147" s="81">
        <f t="shared" si="96"/>
        <v>1</v>
      </c>
      <c r="F147" s="81">
        <f t="shared" si="96"/>
        <v>1</v>
      </c>
      <c r="G147" s="81">
        <f t="shared" si="96"/>
        <v>1</v>
      </c>
      <c r="H147" s="81">
        <f t="shared" si="96"/>
        <v>1</v>
      </c>
      <c r="I147" s="81">
        <f t="shared" si="96"/>
        <v>1</v>
      </c>
      <c r="J147" s="81">
        <f t="shared" si="96"/>
        <v>1</v>
      </c>
      <c r="K147" s="81">
        <f t="shared" si="96"/>
        <v>1</v>
      </c>
      <c r="L147" s="81">
        <f t="shared" si="96"/>
        <v>1</v>
      </c>
      <c r="M147" s="81">
        <f t="shared" si="96"/>
        <v>1</v>
      </c>
      <c r="N147" s="81">
        <f t="shared" si="96"/>
        <v>1</v>
      </c>
      <c r="O147" s="81">
        <f t="shared" si="96"/>
        <v>1</v>
      </c>
      <c r="P147" s="81">
        <f t="shared" si="96"/>
        <v>1</v>
      </c>
      <c r="Q147" s="81">
        <f t="shared" si="96"/>
        <v>1</v>
      </c>
      <c r="R147" s="14">
        <f t="shared" si="89"/>
        <v>0</v>
      </c>
      <c r="S147" s="14">
        <f>IF(J139=0,0,R147/$R$155)</f>
        <v>0</v>
      </c>
      <c r="T147" s="14">
        <f t="shared" si="90"/>
        <v>0</v>
      </c>
    </row>
    <row r="148" spans="1:20" x14ac:dyDescent="0.35">
      <c r="A148" s="44">
        <f>'Data Kriteria'!H14</f>
        <v>1</v>
      </c>
      <c r="B148" s="30">
        <f>'Data Kriteria'!B14</f>
        <v>0</v>
      </c>
      <c r="C148" s="81">
        <f t="shared" ref="C148:Q148" si="97">IF(OR(C138=1,$A$148=1),1,$A$148/C138)</f>
        <v>1</v>
      </c>
      <c r="D148" s="81">
        <f t="shared" si="97"/>
        <v>1</v>
      </c>
      <c r="E148" s="81">
        <f t="shared" si="97"/>
        <v>1</v>
      </c>
      <c r="F148" s="81">
        <f t="shared" si="97"/>
        <v>1</v>
      </c>
      <c r="G148" s="81">
        <f t="shared" si="97"/>
        <v>1</v>
      </c>
      <c r="H148" s="81">
        <f t="shared" si="97"/>
        <v>1</v>
      </c>
      <c r="I148" s="81">
        <f t="shared" si="97"/>
        <v>1</v>
      </c>
      <c r="J148" s="81">
        <f t="shared" si="97"/>
        <v>1</v>
      </c>
      <c r="K148" s="81">
        <f t="shared" si="97"/>
        <v>1</v>
      </c>
      <c r="L148" s="81">
        <f t="shared" si="97"/>
        <v>1</v>
      </c>
      <c r="M148" s="81">
        <f t="shared" si="97"/>
        <v>1</v>
      </c>
      <c r="N148" s="81">
        <f t="shared" si="97"/>
        <v>1</v>
      </c>
      <c r="O148" s="81">
        <f t="shared" si="97"/>
        <v>1</v>
      </c>
      <c r="P148" s="81">
        <f t="shared" si="97"/>
        <v>1</v>
      </c>
      <c r="Q148" s="81">
        <f t="shared" si="97"/>
        <v>1</v>
      </c>
      <c r="R148" s="14">
        <f t="shared" si="89"/>
        <v>0</v>
      </c>
      <c r="S148" s="14">
        <f>IF(K139=0,0,R148/$R$155)</f>
        <v>0</v>
      </c>
      <c r="T148" s="14">
        <f t="shared" si="90"/>
        <v>0</v>
      </c>
    </row>
    <row r="149" spans="1:20" x14ac:dyDescent="0.35">
      <c r="A149" s="44">
        <f>'Data Kriteria'!H15</f>
        <v>1</v>
      </c>
      <c r="B149" s="30">
        <f>'Data Kriteria'!B15</f>
        <v>0</v>
      </c>
      <c r="C149" s="81">
        <f>IF(OR(C138=1,$A$149=1),1,$A$149/C138)</f>
        <v>1</v>
      </c>
      <c r="D149" s="81">
        <f t="shared" ref="D149:Q149" si="98">IF(OR(D138=1,$A$149=1),1,$A$149/D138)</f>
        <v>1</v>
      </c>
      <c r="E149" s="81">
        <f t="shared" si="98"/>
        <v>1</v>
      </c>
      <c r="F149" s="81">
        <f t="shared" si="98"/>
        <v>1</v>
      </c>
      <c r="G149" s="81">
        <f t="shared" si="98"/>
        <v>1</v>
      </c>
      <c r="H149" s="81">
        <f t="shared" si="98"/>
        <v>1</v>
      </c>
      <c r="I149" s="81">
        <f t="shared" si="98"/>
        <v>1</v>
      </c>
      <c r="J149" s="81">
        <f t="shared" si="98"/>
        <v>1</v>
      </c>
      <c r="K149" s="81">
        <f t="shared" si="98"/>
        <v>1</v>
      </c>
      <c r="L149" s="81">
        <f t="shared" si="98"/>
        <v>1</v>
      </c>
      <c r="M149" s="81">
        <f t="shared" si="98"/>
        <v>1</v>
      </c>
      <c r="N149" s="81">
        <f t="shared" si="98"/>
        <v>1</v>
      </c>
      <c r="O149" s="81">
        <f t="shared" si="98"/>
        <v>1</v>
      </c>
      <c r="P149" s="81">
        <f t="shared" si="98"/>
        <v>1</v>
      </c>
      <c r="Q149" s="81">
        <f t="shared" si="98"/>
        <v>1</v>
      </c>
      <c r="R149" s="14">
        <f t="shared" si="89"/>
        <v>0</v>
      </c>
      <c r="S149" s="14">
        <f>IF(L139=0,0,R149/$R$155)</f>
        <v>0</v>
      </c>
      <c r="T149" s="14">
        <f t="shared" si="90"/>
        <v>0</v>
      </c>
    </row>
    <row r="150" spans="1:20" x14ac:dyDescent="0.35">
      <c r="A150" s="44">
        <f>'Data Kriteria'!H16</f>
        <v>1</v>
      </c>
      <c r="B150" s="30">
        <f>'Data Kriteria'!B16</f>
        <v>0</v>
      </c>
      <c r="C150" s="81">
        <f>IF(OR(C138=1,$A$150=1),1,$A$150/C138)</f>
        <v>1</v>
      </c>
      <c r="D150" s="81">
        <f t="shared" ref="D150:Q150" si="99">IF(OR(D138=1,$A$150=1),1,$A$150/D138)</f>
        <v>1</v>
      </c>
      <c r="E150" s="81">
        <f t="shared" si="99"/>
        <v>1</v>
      </c>
      <c r="F150" s="81">
        <f t="shared" si="99"/>
        <v>1</v>
      </c>
      <c r="G150" s="81">
        <f t="shared" si="99"/>
        <v>1</v>
      </c>
      <c r="H150" s="81">
        <f t="shared" si="99"/>
        <v>1</v>
      </c>
      <c r="I150" s="81">
        <f t="shared" si="99"/>
        <v>1</v>
      </c>
      <c r="J150" s="81">
        <f t="shared" si="99"/>
        <v>1</v>
      </c>
      <c r="K150" s="81">
        <f t="shared" si="99"/>
        <v>1</v>
      </c>
      <c r="L150" s="81">
        <f t="shared" si="99"/>
        <v>1</v>
      </c>
      <c r="M150" s="81">
        <f t="shared" si="99"/>
        <v>1</v>
      </c>
      <c r="N150" s="81">
        <f t="shared" si="99"/>
        <v>1</v>
      </c>
      <c r="O150" s="81">
        <f t="shared" si="99"/>
        <v>1</v>
      </c>
      <c r="P150" s="81">
        <f t="shared" si="99"/>
        <v>1</v>
      </c>
      <c r="Q150" s="81">
        <f t="shared" si="99"/>
        <v>1</v>
      </c>
      <c r="R150" s="14">
        <f t="shared" si="89"/>
        <v>0</v>
      </c>
      <c r="S150" s="14">
        <f>IF(M139=0,0,R150/$R$155)</f>
        <v>0</v>
      </c>
      <c r="T150" s="14">
        <f t="shared" si="90"/>
        <v>0</v>
      </c>
    </row>
    <row r="151" spans="1:20" x14ac:dyDescent="0.35">
      <c r="A151" s="44">
        <f>'Data Kriteria'!H17</f>
        <v>1</v>
      </c>
      <c r="B151" s="30">
        <f>'Data Kriteria'!B17</f>
        <v>0</v>
      </c>
      <c r="C151" s="81">
        <f>IF(OR(C138=1,$A$151=1),1,$A$151/C138)</f>
        <v>1</v>
      </c>
      <c r="D151" s="81">
        <f t="shared" ref="D151:Q151" si="100">IF(OR(D138=1,$A$151=1),1,$A$151/D138)</f>
        <v>1</v>
      </c>
      <c r="E151" s="81">
        <f t="shared" si="100"/>
        <v>1</v>
      </c>
      <c r="F151" s="81">
        <f t="shared" si="100"/>
        <v>1</v>
      </c>
      <c r="G151" s="81">
        <f t="shared" si="100"/>
        <v>1</v>
      </c>
      <c r="H151" s="81">
        <f t="shared" si="100"/>
        <v>1</v>
      </c>
      <c r="I151" s="81">
        <f t="shared" si="100"/>
        <v>1</v>
      </c>
      <c r="J151" s="81">
        <f t="shared" si="100"/>
        <v>1</v>
      </c>
      <c r="K151" s="81">
        <f t="shared" si="100"/>
        <v>1</v>
      </c>
      <c r="L151" s="81">
        <f t="shared" si="100"/>
        <v>1</v>
      </c>
      <c r="M151" s="81">
        <f t="shared" si="100"/>
        <v>1</v>
      </c>
      <c r="N151" s="81">
        <f t="shared" si="100"/>
        <v>1</v>
      </c>
      <c r="O151" s="81">
        <f t="shared" si="100"/>
        <v>1</v>
      </c>
      <c r="P151" s="81">
        <f t="shared" si="100"/>
        <v>1</v>
      </c>
      <c r="Q151" s="81">
        <f t="shared" si="100"/>
        <v>1</v>
      </c>
      <c r="R151" s="14">
        <f t="shared" si="89"/>
        <v>0</v>
      </c>
      <c r="S151" s="14">
        <f>IF(N139=0,0,R151/$R$155)</f>
        <v>0</v>
      </c>
      <c r="T151" s="14">
        <f t="shared" si="90"/>
        <v>0</v>
      </c>
    </row>
    <row r="152" spans="1:20" x14ac:dyDescent="0.35">
      <c r="A152" s="44">
        <f>'Data Kriteria'!H18</f>
        <v>1</v>
      </c>
      <c r="B152" s="30">
        <f>'Data Kriteria'!B18</f>
        <v>0</v>
      </c>
      <c r="C152" s="81">
        <f>IF(OR(C138=1,$A$152=1),1,$A$152/C138)</f>
        <v>1</v>
      </c>
      <c r="D152" s="81">
        <f t="shared" ref="D152:Q152" si="101">IF(OR(D138=1,$A$152=1),1,$A$152/D138)</f>
        <v>1</v>
      </c>
      <c r="E152" s="81">
        <f t="shared" si="101"/>
        <v>1</v>
      </c>
      <c r="F152" s="81">
        <f t="shared" si="101"/>
        <v>1</v>
      </c>
      <c r="G152" s="81">
        <f t="shared" si="101"/>
        <v>1</v>
      </c>
      <c r="H152" s="81">
        <f t="shared" si="101"/>
        <v>1</v>
      </c>
      <c r="I152" s="81">
        <f t="shared" si="101"/>
        <v>1</v>
      </c>
      <c r="J152" s="81">
        <f t="shared" si="101"/>
        <v>1</v>
      </c>
      <c r="K152" s="81">
        <f t="shared" si="101"/>
        <v>1</v>
      </c>
      <c r="L152" s="81">
        <f t="shared" si="101"/>
        <v>1</v>
      </c>
      <c r="M152" s="81">
        <f t="shared" si="101"/>
        <v>1</v>
      </c>
      <c r="N152" s="81">
        <f t="shared" si="101"/>
        <v>1</v>
      </c>
      <c r="O152" s="81">
        <f t="shared" si="101"/>
        <v>1</v>
      </c>
      <c r="P152" s="81">
        <f t="shared" si="101"/>
        <v>1</v>
      </c>
      <c r="Q152" s="81">
        <f t="shared" si="101"/>
        <v>1</v>
      </c>
      <c r="R152" s="14">
        <f t="shared" si="89"/>
        <v>0</v>
      </c>
      <c r="S152" s="14">
        <f>IF(O139=0,0,R152/$R$155)</f>
        <v>0</v>
      </c>
      <c r="T152" s="14">
        <f t="shared" si="90"/>
        <v>0</v>
      </c>
    </row>
    <row r="153" spans="1:20" x14ac:dyDescent="0.35">
      <c r="A153" s="44">
        <f>'Data Kriteria'!H19</f>
        <v>1</v>
      </c>
      <c r="B153" s="30">
        <f>'Data Kriteria'!B19</f>
        <v>0</v>
      </c>
      <c r="C153" s="81">
        <f>IF(OR(C138=1,$A$153=1),1,$A$153/C138)</f>
        <v>1</v>
      </c>
      <c r="D153" s="81">
        <f t="shared" ref="D153:Q153" si="102">IF(OR(D138=1,$A$153=1),1,$A$153/D138)</f>
        <v>1</v>
      </c>
      <c r="E153" s="81">
        <f t="shared" si="102"/>
        <v>1</v>
      </c>
      <c r="F153" s="81">
        <f t="shared" si="102"/>
        <v>1</v>
      </c>
      <c r="G153" s="81">
        <f t="shared" si="102"/>
        <v>1</v>
      </c>
      <c r="H153" s="81">
        <f t="shared" si="102"/>
        <v>1</v>
      </c>
      <c r="I153" s="81">
        <f t="shared" si="102"/>
        <v>1</v>
      </c>
      <c r="J153" s="81">
        <f t="shared" si="102"/>
        <v>1</v>
      </c>
      <c r="K153" s="81">
        <f t="shared" si="102"/>
        <v>1</v>
      </c>
      <c r="L153" s="81">
        <f t="shared" si="102"/>
        <v>1</v>
      </c>
      <c r="M153" s="81">
        <f t="shared" si="102"/>
        <v>1</v>
      </c>
      <c r="N153" s="81">
        <f t="shared" si="102"/>
        <v>1</v>
      </c>
      <c r="O153" s="81">
        <f t="shared" si="102"/>
        <v>1</v>
      </c>
      <c r="P153" s="81">
        <f t="shared" si="102"/>
        <v>1</v>
      </c>
      <c r="Q153" s="81">
        <f t="shared" si="102"/>
        <v>1</v>
      </c>
      <c r="R153" s="14">
        <f t="shared" si="89"/>
        <v>0</v>
      </c>
      <c r="S153" s="14">
        <f>IF(P139=0,0,R153/$R$155)</f>
        <v>0</v>
      </c>
      <c r="T153" s="14">
        <f t="shared" si="90"/>
        <v>0</v>
      </c>
    </row>
    <row r="154" spans="1:20" x14ac:dyDescent="0.35">
      <c r="A154" s="44">
        <f>'Data Kriteria'!H20</f>
        <v>1</v>
      </c>
      <c r="B154" s="30">
        <f>'Data Kriteria'!B20</f>
        <v>0</v>
      </c>
      <c r="C154" s="81">
        <f>IF(OR(C138=1,$A$154=1),1,$A$154/C138)</f>
        <v>1</v>
      </c>
      <c r="D154" s="81">
        <f t="shared" ref="D154:Q154" si="103">IF(OR(D138=1,$A$154=1),1,$A$154/D138)</f>
        <v>1</v>
      </c>
      <c r="E154" s="81">
        <f t="shared" si="103"/>
        <v>1</v>
      </c>
      <c r="F154" s="81">
        <f t="shared" si="103"/>
        <v>1</v>
      </c>
      <c r="G154" s="81">
        <f t="shared" si="103"/>
        <v>1</v>
      </c>
      <c r="H154" s="81">
        <f t="shared" si="103"/>
        <v>1</v>
      </c>
      <c r="I154" s="81">
        <f t="shared" si="103"/>
        <v>1</v>
      </c>
      <c r="J154" s="81">
        <f t="shared" si="103"/>
        <v>1</v>
      </c>
      <c r="K154" s="81">
        <f t="shared" si="103"/>
        <v>1</v>
      </c>
      <c r="L154" s="81">
        <f t="shared" si="103"/>
        <v>1</v>
      </c>
      <c r="M154" s="81">
        <f t="shared" si="103"/>
        <v>1</v>
      </c>
      <c r="N154" s="81">
        <f t="shared" si="103"/>
        <v>1</v>
      </c>
      <c r="O154" s="81">
        <f t="shared" si="103"/>
        <v>1</v>
      </c>
      <c r="P154" s="81">
        <f t="shared" si="103"/>
        <v>1</v>
      </c>
      <c r="Q154" s="81">
        <f t="shared" si="103"/>
        <v>1</v>
      </c>
      <c r="R154" s="14">
        <f t="shared" si="89"/>
        <v>0</v>
      </c>
      <c r="S154" s="14">
        <f>IF(Q139=0,0,R154/$R$155)</f>
        <v>0</v>
      </c>
      <c r="T154" s="14">
        <f t="shared" si="90"/>
        <v>0</v>
      </c>
    </row>
    <row r="155" spans="1:20" x14ac:dyDescent="0.35">
      <c r="R155" s="14">
        <f>SUM(R140:R154)</f>
        <v>0</v>
      </c>
      <c r="S155" s="14">
        <f>SUM(S140:S154)</f>
        <v>0</v>
      </c>
      <c r="T155" s="15">
        <f>MAX(T140:T154)</f>
        <v>0</v>
      </c>
    </row>
    <row r="157" spans="1:20" ht="15" thickBot="1" x14ac:dyDescent="0.4">
      <c r="S157" s="5" t="s">
        <v>49</v>
      </c>
      <c r="T157" s="16">
        <f>T155</f>
        <v>0</v>
      </c>
    </row>
    <row r="158" spans="1:20" ht="15" thickBot="1" x14ac:dyDescent="0.4">
      <c r="B158" s="4" t="s">
        <v>38</v>
      </c>
      <c r="C158" s="4"/>
      <c r="D158" s="4"/>
      <c r="E158" s="51">
        <f>E131</f>
        <v>0</v>
      </c>
      <c r="S158" s="6" t="s">
        <v>39</v>
      </c>
      <c r="T158" s="3">
        <f>(T157-15)/(15-1)</f>
        <v>-1.0714285714285714</v>
      </c>
    </row>
    <row r="159" spans="1:20" x14ac:dyDescent="0.35">
      <c r="S159" s="6" t="s">
        <v>40</v>
      </c>
      <c r="T159" s="57" t="b">
        <f>IF(E158=E160,E161,IF(E158=F160,F161,IF(E158=G160,G161,IF(E158=H160,H161,IF(E158=I160,I161,IF(E158=J160,J161,IF(E158=K160,K161,IF(E158=L160,L161,IF(E158=M160,M161,IF(E158=N160,N161,IF(E158=O160,O161,IF(E158=P160,P161,IF(E158=Q160,Q161)))))))))))))</f>
        <v>0</v>
      </c>
    </row>
    <row r="160" spans="1:20" x14ac:dyDescent="0.35">
      <c r="B160" s="2" t="s">
        <v>41</v>
      </c>
      <c r="C160" s="2">
        <v>1</v>
      </c>
      <c r="D160" s="2">
        <v>2</v>
      </c>
      <c r="E160" s="2">
        <v>3</v>
      </c>
      <c r="F160" s="2">
        <v>4</v>
      </c>
      <c r="G160" s="2">
        <v>5</v>
      </c>
      <c r="H160" s="2">
        <v>6</v>
      </c>
      <c r="I160" s="2">
        <v>7</v>
      </c>
      <c r="J160" s="2">
        <v>8</v>
      </c>
      <c r="K160" s="2">
        <v>9</v>
      </c>
      <c r="L160" s="2">
        <v>10</v>
      </c>
      <c r="M160" s="2">
        <v>11</v>
      </c>
      <c r="N160" s="2">
        <v>12</v>
      </c>
      <c r="O160" s="2">
        <v>13</v>
      </c>
      <c r="P160" s="2">
        <v>14</v>
      </c>
      <c r="Q160" s="2">
        <v>15</v>
      </c>
      <c r="S160" s="6" t="s">
        <v>42</v>
      </c>
      <c r="T160" s="16" t="e">
        <f>T158/T159</f>
        <v>#DIV/0!</v>
      </c>
    </row>
    <row r="161" spans="1:20" x14ac:dyDescent="0.35">
      <c r="B161" s="2" t="s">
        <v>40</v>
      </c>
      <c r="C161" s="87">
        <v>0</v>
      </c>
      <c r="D161" s="87">
        <v>0</v>
      </c>
      <c r="E161" s="87">
        <v>0.57999999999999996</v>
      </c>
      <c r="F161" s="87">
        <v>0.9</v>
      </c>
      <c r="G161" s="87">
        <v>1.1200000000000001</v>
      </c>
      <c r="H161" s="87">
        <v>1.24</v>
      </c>
      <c r="I161" s="87">
        <v>1.32</v>
      </c>
      <c r="J161" s="87">
        <v>1.41</v>
      </c>
      <c r="K161" s="87">
        <v>1.45</v>
      </c>
      <c r="L161" s="87">
        <v>1.49</v>
      </c>
      <c r="M161" s="87">
        <v>1.51</v>
      </c>
      <c r="N161" s="87">
        <v>1.54</v>
      </c>
      <c r="O161" s="87">
        <v>1.56</v>
      </c>
      <c r="P161" s="87">
        <v>1.57</v>
      </c>
      <c r="Q161" s="87">
        <v>1.58</v>
      </c>
    </row>
    <row r="162" spans="1:20" x14ac:dyDescent="0.35">
      <c r="S162" s="6" t="s">
        <v>43</v>
      </c>
      <c r="T162" s="1" t="s">
        <v>44</v>
      </c>
    </row>
    <row r="163" spans="1:20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x14ac:dyDescent="0.35">
      <c r="A164" s="46" t="s">
        <v>46</v>
      </c>
      <c r="B164" s="88">
        <f>'Data Kriteria'!I5</f>
        <v>0</v>
      </c>
    </row>
    <row r="165" spans="1:20" x14ac:dyDescent="0.35">
      <c r="C165" s="44" cm="1">
        <f t="array" ref="C165:Q165">TRANSPOSE(A167:A181)</f>
        <v>1</v>
      </c>
      <c r="D165" s="44">
        <v>1</v>
      </c>
      <c r="E165" s="44">
        <v>1</v>
      </c>
      <c r="F165" s="44">
        <v>1</v>
      </c>
      <c r="G165" s="44">
        <v>1</v>
      </c>
      <c r="H165" s="44">
        <v>1</v>
      </c>
      <c r="I165" s="44">
        <v>1</v>
      </c>
      <c r="J165" s="44">
        <v>1</v>
      </c>
      <c r="K165" s="44">
        <v>1</v>
      </c>
      <c r="L165" s="44">
        <v>1</v>
      </c>
      <c r="M165" s="44">
        <v>1</v>
      </c>
      <c r="N165" s="44">
        <v>1</v>
      </c>
      <c r="O165" s="44">
        <v>1</v>
      </c>
      <c r="P165" s="44">
        <v>1</v>
      </c>
      <c r="Q165" s="44">
        <v>1</v>
      </c>
    </row>
    <row r="166" spans="1:20" x14ac:dyDescent="0.35">
      <c r="B166" s="83">
        <v>7</v>
      </c>
      <c r="C166" s="30" cm="1">
        <f t="array" ref="C166:Q166">TRANSPOSE(B167:B181)</f>
        <v>0</v>
      </c>
      <c r="D166" s="30">
        <v>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86" t="s">
        <v>47</v>
      </c>
      <c r="S166" s="45" t="s">
        <v>35</v>
      </c>
      <c r="T166" s="45" t="s">
        <v>48</v>
      </c>
    </row>
    <row r="167" spans="1:20" x14ac:dyDescent="0.35">
      <c r="A167" s="44">
        <f>'Data Kriteria'!I6</f>
        <v>1</v>
      </c>
      <c r="B167" s="30">
        <f>'Data Kriteria'!B6</f>
        <v>0</v>
      </c>
      <c r="C167" s="81">
        <f>IF(OR(C165=1,$A$167=1),1,$A$167/C165)</f>
        <v>1</v>
      </c>
      <c r="D167" s="81">
        <f t="shared" ref="D167:Q167" si="104">IF(OR(D165=1,$A$167=1),1,$A$167/D165)</f>
        <v>1</v>
      </c>
      <c r="E167" s="81">
        <f t="shared" si="104"/>
        <v>1</v>
      </c>
      <c r="F167" s="81">
        <f t="shared" si="104"/>
        <v>1</v>
      </c>
      <c r="G167" s="81">
        <f t="shared" si="104"/>
        <v>1</v>
      </c>
      <c r="H167" s="81">
        <f t="shared" si="104"/>
        <v>1</v>
      </c>
      <c r="I167" s="81">
        <f t="shared" si="104"/>
        <v>1</v>
      </c>
      <c r="J167" s="81">
        <f t="shared" si="104"/>
        <v>1</v>
      </c>
      <c r="K167" s="81">
        <f t="shared" si="104"/>
        <v>1</v>
      </c>
      <c r="L167" s="81">
        <f t="shared" si="104"/>
        <v>1</v>
      </c>
      <c r="M167" s="81">
        <f t="shared" si="104"/>
        <v>1</v>
      </c>
      <c r="N167" s="81">
        <f t="shared" si="104"/>
        <v>1</v>
      </c>
      <c r="O167" s="81">
        <f t="shared" si="104"/>
        <v>1</v>
      </c>
      <c r="P167" s="81">
        <f t="shared" si="104"/>
        <v>1</v>
      </c>
      <c r="Q167" s="81">
        <f t="shared" si="104"/>
        <v>1</v>
      </c>
      <c r="R167" s="14">
        <f>IF(A167=1,0,(C167*D167*E167*F167*G167*H167*I167*J167*K167*L167*M167*N167*O167*P167*Q167)^(1/$E$185))</f>
        <v>0</v>
      </c>
      <c r="S167" s="14">
        <f>IF(C166=0,0,R167/$R$182)</f>
        <v>0</v>
      </c>
      <c r="T167" s="14">
        <f>IF(A167=1,0,(C167*$S$113+D167*$S$114+E167*$S$115+F167*$S$116+G167*$S$117+H167*$S$118+I167*$S$119+J167*$S$120+K167*$S$121+L167*$S$122+M167*$S$123+N167*$S$124+O167*$S$125+P167*$S$126+Q167*$S$127)/S167)</f>
        <v>0</v>
      </c>
    </row>
    <row r="168" spans="1:20" x14ac:dyDescent="0.35">
      <c r="A168" s="44">
        <f>'Data Kriteria'!I7</f>
        <v>1</v>
      </c>
      <c r="B168" s="30">
        <f>'Data Kriteria'!B7</f>
        <v>0</v>
      </c>
      <c r="C168" s="81">
        <f>IF(OR(C165=1,$A$168=1),1,$A$168/C165)</f>
        <v>1</v>
      </c>
      <c r="D168" s="81">
        <f t="shared" ref="D168:Q168" si="105">IF(OR(D165=1,$A$168=1),1,$A$168/D165)</f>
        <v>1</v>
      </c>
      <c r="E168" s="81">
        <f t="shared" si="105"/>
        <v>1</v>
      </c>
      <c r="F168" s="81">
        <f t="shared" si="105"/>
        <v>1</v>
      </c>
      <c r="G168" s="81">
        <f t="shared" si="105"/>
        <v>1</v>
      </c>
      <c r="H168" s="81">
        <f t="shared" si="105"/>
        <v>1</v>
      </c>
      <c r="I168" s="81">
        <f t="shared" si="105"/>
        <v>1</v>
      </c>
      <c r="J168" s="81">
        <f t="shared" si="105"/>
        <v>1</v>
      </c>
      <c r="K168" s="81">
        <f t="shared" si="105"/>
        <v>1</v>
      </c>
      <c r="L168" s="81">
        <f t="shared" si="105"/>
        <v>1</v>
      </c>
      <c r="M168" s="81">
        <f t="shared" si="105"/>
        <v>1</v>
      </c>
      <c r="N168" s="81">
        <f t="shared" si="105"/>
        <v>1</v>
      </c>
      <c r="O168" s="81">
        <f t="shared" si="105"/>
        <v>1</v>
      </c>
      <c r="P168" s="81">
        <f t="shared" si="105"/>
        <v>1</v>
      </c>
      <c r="Q168" s="81">
        <f t="shared" si="105"/>
        <v>1</v>
      </c>
      <c r="R168" s="14">
        <f t="shared" ref="R168:R181" si="106">IF(A168=1,0,(C168*D168*E168*F168*G168*H168*I168*J168*K168*L168*M168*N168*O168*P168*Q168)^(1/$E$185))</f>
        <v>0</v>
      </c>
      <c r="S168" s="14">
        <f>IF(D166=0,0,R168/$R$182)</f>
        <v>0</v>
      </c>
      <c r="T168" s="14">
        <f t="shared" ref="T168:T181" si="107">IF(A168=1,0,(C168*$S$113+D168*$S$114+E168*$S$115+F168*$S$116+G168*$S$117+H168*$S$118+I168*$S$119+J168*$S$120+K168*$S$121+L168*$S$122+M168*$S$123+N168*$S$124+O168*$S$125+P168*$S$126+Q168*$S$127)/S168)</f>
        <v>0</v>
      </c>
    </row>
    <row r="169" spans="1:20" x14ac:dyDescent="0.35">
      <c r="A169" s="44">
        <f>'Data Kriteria'!I8</f>
        <v>1</v>
      </c>
      <c r="B169" s="30">
        <f>'Data Kriteria'!B8</f>
        <v>0</v>
      </c>
      <c r="C169" s="81">
        <f>IF(OR(C165=1,$A$169=1),1,$A$169/C165)</f>
        <v>1</v>
      </c>
      <c r="D169" s="81">
        <f t="shared" ref="D169:Q169" si="108">IF(OR(D165=1,$A$169=1),1,$A$169/D165)</f>
        <v>1</v>
      </c>
      <c r="E169" s="81">
        <f t="shared" si="108"/>
        <v>1</v>
      </c>
      <c r="F169" s="81">
        <f t="shared" si="108"/>
        <v>1</v>
      </c>
      <c r="G169" s="81">
        <f t="shared" si="108"/>
        <v>1</v>
      </c>
      <c r="H169" s="81">
        <f t="shared" si="108"/>
        <v>1</v>
      </c>
      <c r="I169" s="81">
        <f t="shared" si="108"/>
        <v>1</v>
      </c>
      <c r="J169" s="81">
        <f t="shared" si="108"/>
        <v>1</v>
      </c>
      <c r="K169" s="81">
        <f t="shared" si="108"/>
        <v>1</v>
      </c>
      <c r="L169" s="81">
        <f t="shared" si="108"/>
        <v>1</v>
      </c>
      <c r="M169" s="81">
        <f t="shared" si="108"/>
        <v>1</v>
      </c>
      <c r="N169" s="81">
        <f t="shared" si="108"/>
        <v>1</v>
      </c>
      <c r="O169" s="81">
        <f t="shared" si="108"/>
        <v>1</v>
      </c>
      <c r="P169" s="81">
        <f t="shared" si="108"/>
        <v>1</v>
      </c>
      <c r="Q169" s="81">
        <f t="shared" si="108"/>
        <v>1</v>
      </c>
      <c r="R169" s="14">
        <f t="shared" si="106"/>
        <v>0</v>
      </c>
      <c r="S169" s="14">
        <f>IF(E166=0,0,R169/$R$182)</f>
        <v>0</v>
      </c>
      <c r="T169" s="14">
        <f t="shared" si="107"/>
        <v>0</v>
      </c>
    </row>
    <row r="170" spans="1:20" x14ac:dyDescent="0.35">
      <c r="A170" s="44">
        <f>'Data Kriteria'!I9</f>
        <v>1</v>
      </c>
      <c r="B170" s="30">
        <f>'Data Kriteria'!B9</f>
        <v>0</v>
      </c>
      <c r="C170" s="81">
        <f>IF(OR(C165=1,$A$170=1),1,$A$170/C165)</f>
        <v>1</v>
      </c>
      <c r="D170" s="81">
        <f t="shared" ref="D170:Q170" si="109">IF(OR(D165=1,$A$170=1),1,$A$170/D165)</f>
        <v>1</v>
      </c>
      <c r="E170" s="81">
        <f t="shared" si="109"/>
        <v>1</v>
      </c>
      <c r="F170" s="81">
        <f t="shared" si="109"/>
        <v>1</v>
      </c>
      <c r="G170" s="81">
        <f t="shared" si="109"/>
        <v>1</v>
      </c>
      <c r="H170" s="81">
        <f t="shared" si="109"/>
        <v>1</v>
      </c>
      <c r="I170" s="81">
        <f t="shared" si="109"/>
        <v>1</v>
      </c>
      <c r="J170" s="81">
        <f t="shared" si="109"/>
        <v>1</v>
      </c>
      <c r="K170" s="81">
        <f t="shared" si="109"/>
        <v>1</v>
      </c>
      <c r="L170" s="81">
        <f t="shared" si="109"/>
        <v>1</v>
      </c>
      <c r="M170" s="81">
        <f t="shared" si="109"/>
        <v>1</v>
      </c>
      <c r="N170" s="81">
        <f t="shared" si="109"/>
        <v>1</v>
      </c>
      <c r="O170" s="81">
        <f t="shared" si="109"/>
        <v>1</v>
      </c>
      <c r="P170" s="81">
        <f t="shared" si="109"/>
        <v>1</v>
      </c>
      <c r="Q170" s="81">
        <f t="shared" si="109"/>
        <v>1</v>
      </c>
      <c r="R170" s="14">
        <f t="shared" si="106"/>
        <v>0</v>
      </c>
      <c r="S170" s="14">
        <f>IF(F166=0,0,R170/$R$182)</f>
        <v>0</v>
      </c>
      <c r="T170" s="14">
        <f t="shared" si="107"/>
        <v>0</v>
      </c>
    </row>
    <row r="171" spans="1:20" x14ac:dyDescent="0.35">
      <c r="A171" s="44">
        <f>'Data Kriteria'!I10</f>
        <v>1</v>
      </c>
      <c r="B171" s="30">
        <f>'Data Kriteria'!B10</f>
        <v>0</v>
      </c>
      <c r="C171" s="81">
        <f>IF(OR(C165=1,$A$171=1),1,$A$171/C165)</f>
        <v>1</v>
      </c>
      <c r="D171" s="81">
        <f t="shared" ref="D171:Q171" si="110">IF(OR(D165=1,$A$171=1),1,$A$171/D165)</f>
        <v>1</v>
      </c>
      <c r="E171" s="81">
        <f t="shared" si="110"/>
        <v>1</v>
      </c>
      <c r="F171" s="81">
        <f t="shared" si="110"/>
        <v>1</v>
      </c>
      <c r="G171" s="81">
        <f t="shared" si="110"/>
        <v>1</v>
      </c>
      <c r="H171" s="81">
        <f t="shared" si="110"/>
        <v>1</v>
      </c>
      <c r="I171" s="81">
        <f t="shared" si="110"/>
        <v>1</v>
      </c>
      <c r="J171" s="81">
        <f t="shared" si="110"/>
        <v>1</v>
      </c>
      <c r="K171" s="81">
        <f t="shared" si="110"/>
        <v>1</v>
      </c>
      <c r="L171" s="81">
        <f t="shared" si="110"/>
        <v>1</v>
      </c>
      <c r="M171" s="81">
        <f t="shared" si="110"/>
        <v>1</v>
      </c>
      <c r="N171" s="81">
        <f t="shared" si="110"/>
        <v>1</v>
      </c>
      <c r="O171" s="81">
        <f t="shared" si="110"/>
        <v>1</v>
      </c>
      <c r="P171" s="81">
        <f t="shared" si="110"/>
        <v>1</v>
      </c>
      <c r="Q171" s="81">
        <f t="shared" si="110"/>
        <v>1</v>
      </c>
      <c r="R171" s="14">
        <f t="shared" si="106"/>
        <v>0</v>
      </c>
      <c r="S171" s="14">
        <f>IF(G166=0,0,R171/$R$182)</f>
        <v>0</v>
      </c>
      <c r="T171" s="14">
        <f t="shared" si="107"/>
        <v>0</v>
      </c>
    </row>
    <row r="172" spans="1:20" x14ac:dyDescent="0.35">
      <c r="A172" s="44">
        <f>'Data Kriteria'!I11</f>
        <v>1</v>
      </c>
      <c r="B172" s="30">
        <f>'Data Kriteria'!B11</f>
        <v>0</v>
      </c>
      <c r="C172" s="81">
        <f>IF(OR(C165=1,$A$172=1),1,$A$172/C165)</f>
        <v>1</v>
      </c>
      <c r="D172" s="81">
        <f t="shared" ref="D172:Q172" si="111">IF(OR(D165=1,$A$172=1),1,$A$172/D165)</f>
        <v>1</v>
      </c>
      <c r="E172" s="81">
        <f t="shared" si="111"/>
        <v>1</v>
      </c>
      <c r="F172" s="81">
        <f t="shared" si="111"/>
        <v>1</v>
      </c>
      <c r="G172" s="81">
        <f t="shared" si="111"/>
        <v>1</v>
      </c>
      <c r="H172" s="81">
        <f t="shared" si="111"/>
        <v>1</v>
      </c>
      <c r="I172" s="81">
        <f t="shared" si="111"/>
        <v>1</v>
      </c>
      <c r="J172" s="81">
        <f t="shared" si="111"/>
        <v>1</v>
      </c>
      <c r="K172" s="81">
        <f t="shared" si="111"/>
        <v>1</v>
      </c>
      <c r="L172" s="81">
        <f t="shared" si="111"/>
        <v>1</v>
      </c>
      <c r="M172" s="81">
        <f t="shared" si="111"/>
        <v>1</v>
      </c>
      <c r="N172" s="81">
        <f t="shared" si="111"/>
        <v>1</v>
      </c>
      <c r="O172" s="81">
        <f t="shared" si="111"/>
        <v>1</v>
      </c>
      <c r="P172" s="81">
        <f t="shared" si="111"/>
        <v>1</v>
      </c>
      <c r="Q172" s="81">
        <f t="shared" si="111"/>
        <v>1</v>
      </c>
      <c r="R172" s="14">
        <f t="shared" si="106"/>
        <v>0</v>
      </c>
      <c r="S172" s="14">
        <f>IF(H166=0,0,R172/$R$182)</f>
        <v>0</v>
      </c>
      <c r="T172" s="14">
        <f t="shared" si="107"/>
        <v>0</v>
      </c>
    </row>
    <row r="173" spans="1:20" x14ac:dyDescent="0.35">
      <c r="A173" s="44">
        <f>'Data Kriteria'!I12</f>
        <v>1</v>
      </c>
      <c r="B173" s="30">
        <f>'Data Kriteria'!B12</f>
        <v>0</v>
      </c>
      <c r="C173" s="81">
        <f>IF(OR(C165=1,$A$173=1),1,$A$173/C165)</f>
        <v>1</v>
      </c>
      <c r="D173" s="81">
        <f t="shared" ref="D173:Q173" si="112">IF(OR(D165=1,$A$173=1),1,$A$173/D165)</f>
        <v>1</v>
      </c>
      <c r="E173" s="81">
        <f t="shared" si="112"/>
        <v>1</v>
      </c>
      <c r="F173" s="81">
        <f t="shared" si="112"/>
        <v>1</v>
      </c>
      <c r="G173" s="81">
        <f t="shared" si="112"/>
        <v>1</v>
      </c>
      <c r="H173" s="81">
        <f t="shared" si="112"/>
        <v>1</v>
      </c>
      <c r="I173" s="81">
        <f t="shared" si="112"/>
        <v>1</v>
      </c>
      <c r="J173" s="81">
        <f t="shared" si="112"/>
        <v>1</v>
      </c>
      <c r="K173" s="81">
        <f t="shared" si="112"/>
        <v>1</v>
      </c>
      <c r="L173" s="81">
        <f t="shared" si="112"/>
        <v>1</v>
      </c>
      <c r="M173" s="81">
        <f t="shared" si="112"/>
        <v>1</v>
      </c>
      <c r="N173" s="81">
        <f t="shared" si="112"/>
        <v>1</v>
      </c>
      <c r="O173" s="81">
        <f t="shared" si="112"/>
        <v>1</v>
      </c>
      <c r="P173" s="81">
        <f t="shared" si="112"/>
        <v>1</v>
      </c>
      <c r="Q173" s="81">
        <f t="shared" si="112"/>
        <v>1</v>
      </c>
      <c r="R173" s="14">
        <f t="shared" si="106"/>
        <v>0</v>
      </c>
      <c r="S173" s="14">
        <f>IF(I166=0,0,R173/$R$182)</f>
        <v>0</v>
      </c>
      <c r="T173" s="14">
        <f t="shared" si="107"/>
        <v>0</v>
      </c>
    </row>
    <row r="174" spans="1:20" x14ac:dyDescent="0.35">
      <c r="A174" s="44">
        <f>'Data Kriteria'!I13</f>
        <v>1</v>
      </c>
      <c r="B174" s="30">
        <f>'Data Kriteria'!B13</f>
        <v>0</v>
      </c>
      <c r="C174" s="81">
        <f>IF(OR(C165=1,$A$174=1),1,$A$174/C165)</f>
        <v>1</v>
      </c>
      <c r="D174" s="81">
        <f t="shared" ref="D174:Q174" si="113">IF(OR(D165=1,$A$174=1),1,$A$174/D165)</f>
        <v>1</v>
      </c>
      <c r="E174" s="81">
        <f t="shared" si="113"/>
        <v>1</v>
      </c>
      <c r="F174" s="81">
        <f t="shared" si="113"/>
        <v>1</v>
      </c>
      <c r="G174" s="81">
        <f t="shared" si="113"/>
        <v>1</v>
      </c>
      <c r="H174" s="81">
        <f t="shared" si="113"/>
        <v>1</v>
      </c>
      <c r="I174" s="81">
        <f t="shared" si="113"/>
        <v>1</v>
      </c>
      <c r="J174" s="81">
        <f t="shared" si="113"/>
        <v>1</v>
      </c>
      <c r="K174" s="81">
        <f t="shared" si="113"/>
        <v>1</v>
      </c>
      <c r="L174" s="81">
        <f t="shared" si="113"/>
        <v>1</v>
      </c>
      <c r="M174" s="81">
        <f t="shared" si="113"/>
        <v>1</v>
      </c>
      <c r="N174" s="81">
        <f t="shared" si="113"/>
        <v>1</v>
      </c>
      <c r="O174" s="81">
        <f t="shared" si="113"/>
        <v>1</v>
      </c>
      <c r="P174" s="81">
        <f t="shared" si="113"/>
        <v>1</v>
      </c>
      <c r="Q174" s="81">
        <f t="shared" si="113"/>
        <v>1</v>
      </c>
      <c r="R174" s="14">
        <f t="shared" si="106"/>
        <v>0</v>
      </c>
      <c r="S174" s="14">
        <f>IF(J166=0,0,R174/$R$182)</f>
        <v>0</v>
      </c>
      <c r="T174" s="14">
        <f t="shared" si="107"/>
        <v>0</v>
      </c>
    </row>
    <row r="175" spans="1:20" x14ac:dyDescent="0.35">
      <c r="A175" s="44">
        <f>'Data Kriteria'!I14</f>
        <v>1</v>
      </c>
      <c r="B175" s="30">
        <f>'Data Kriteria'!B14</f>
        <v>0</v>
      </c>
      <c r="C175" s="81">
        <f t="shared" ref="C175:Q175" si="114">IF(OR(C165=1,$A$175=1),1,$A$175/C165)</f>
        <v>1</v>
      </c>
      <c r="D175" s="81">
        <f t="shared" si="114"/>
        <v>1</v>
      </c>
      <c r="E175" s="81">
        <f t="shared" si="114"/>
        <v>1</v>
      </c>
      <c r="F175" s="81">
        <f t="shared" si="114"/>
        <v>1</v>
      </c>
      <c r="G175" s="81">
        <f t="shared" si="114"/>
        <v>1</v>
      </c>
      <c r="H175" s="81">
        <f t="shared" si="114"/>
        <v>1</v>
      </c>
      <c r="I175" s="81">
        <f t="shared" si="114"/>
        <v>1</v>
      </c>
      <c r="J175" s="81">
        <f t="shared" si="114"/>
        <v>1</v>
      </c>
      <c r="K175" s="81">
        <f t="shared" si="114"/>
        <v>1</v>
      </c>
      <c r="L175" s="81">
        <f t="shared" si="114"/>
        <v>1</v>
      </c>
      <c r="M175" s="81">
        <f t="shared" si="114"/>
        <v>1</v>
      </c>
      <c r="N175" s="81">
        <f t="shared" si="114"/>
        <v>1</v>
      </c>
      <c r="O175" s="81">
        <f t="shared" si="114"/>
        <v>1</v>
      </c>
      <c r="P175" s="81">
        <f t="shared" si="114"/>
        <v>1</v>
      </c>
      <c r="Q175" s="81">
        <f t="shared" si="114"/>
        <v>1</v>
      </c>
      <c r="R175" s="14">
        <f t="shared" si="106"/>
        <v>0</v>
      </c>
      <c r="S175" s="14">
        <f>IF(K166=0,0,R175/$R$182)</f>
        <v>0</v>
      </c>
      <c r="T175" s="14">
        <f t="shared" si="107"/>
        <v>0</v>
      </c>
    </row>
    <row r="176" spans="1:20" x14ac:dyDescent="0.35">
      <c r="A176" s="44">
        <f>'Data Kriteria'!I15</f>
        <v>1</v>
      </c>
      <c r="B176" s="30">
        <f>'Data Kriteria'!B15</f>
        <v>0</v>
      </c>
      <c r="C176" s="81">
        <f>IF(OR(C165=1,$A$176=1),1,$A$176/C165)</f>
        <v>1</v>
      </c>
      <c r="D176" s="81">
        <f t="shared" ref="D176:Q176" si="115">IF(OR(D165=1,$A$176=1),1,$A$176/D165)</f>
        <v>1</v>
      </c>
      <c r="E176" s="81">
        <f t="shared" si="115"/>
        <v>1</v>
      </c>
      <c r="F176" s="81">
        <f t="shared" si="115"/>
        <v>1</v>
      </c>
      <c r="G176" s="81">
        <f t="shared" si="115"/>
        <v>1</v>
      </c>
      <c r="H176" s="81">
        <f t="shared" si="115"/>
        <v>1</v>
      </c>
      <c r="I176" s="81">
        <f t="shared" si="115"/>
        <v>1</v>
      </c>
      <c r="J176" s="81">
        <f t="shared" si="115"/>
        <v>1</v>
      </c>
      <c r="K176" s="81">
        <f t="shared" si="115"/>
        <v>1</v>
      </c>
      <c r="L176" s="81">
        <f t="shared" si="115"/>
        <v>1</v>
      </c>
      <c r="M176" s="81">
        <f t="shared" si="115"/>
        <v>1</v>
      </c>
      <c r="N176" s="81">
        <f t="shared" si="115"/>
        <v>1</v>
      </c>
      <c r="O176" s="81">
        <f t="shared" si="115"/>
        <v>1</v>
      </c>
      <c r="P176" s="81">
        <f t="shared" si="115"/>
        <v>1</v>
      </c>
      <c r="Q176" s="81">
        <f t="shared" si="115"/>
        <v>1</v>
      </c>
      <c r="R176" s="14">
        <f t="shared" si="106"/>
        <v>0</v>
      </c>
      <c r="S176" s="14">
        <f>IF(L166=0,0,R176/$R$182)</f>
        <v>0</v>
      </c>
      <c r="T176" s="14">
        <f t="shared" si="107"/>
        <v>0</v>
      </c>
    </row>
    <row r="177" spans="1:20" x14ac:dyDescent="0.35">
      <c r="A177" s="44">
        <f>'Data Kriteria'!I16</f>
        <v>1</v>
      </c>
      <c r="B177" s="30">
        <f>'Data Kriteria'!B16</f>
        <v>0</v>
      </c>
      <c r="C177" s="81">
        <f>IF(OR(C165=1,$A$177=1),1,$A$177/C165)</f>
        <v>1</v>
      </c>
      <c r="D177" s="81">
        <f t="shared" ref="D177:Q177" si="116">IF(OR(D165=1,$A$177=1),1,$A$177/D165)</f>
        <v>1</v>
      </c>
      <c r="E177" s="81">
        <f t="shared" si="116"/>
        <v>1</v>
      </c>
      <c r="F177" s="81">
        <f t="shared" si="116"/>
        <v>1</v>
      </c>
      <c r="G177" s="81">
        <f t="shared" si="116"/>
        <v>1</v>
      </c>
      <c r="H177" s="81">
        <f t="shared" si="116"/>
        <v>1</v>
      </c>
      <c r="I177" s="81">
        <f t="shared" si="116"/>
        <v>1</v>
      </c>
      <c r="J177" s="81">
        <f t="shared" si="116"/>
        <v>1</v>
      </c>
      <c r="K177" s="81">
        <f t="shared" si="116"/>
        <v>1</v>
      </c>
      <c r="L177" s="81">
        <f t="shared" si="116"/>
        <v>1</v>
      </c>
      <c r="M177" s="81">
        <f t="shared" si="116"/>
        <v>1</v>
      </c>
      <c r="N177" s="81">
        <f t="shared" si="116"/>
        <v>1</v>
      </c>
      <c r="O177" s="81">
        <f t="shared" si="116"/>
        <v>1</v>
      </c>
      <c r="P177" s="81">
        <f t="shared" si="116"/>
        <v>1</v>
      </c>
      <c r="Q177" s="81">
        <f t="shared" si="116"/>
        <v>1</v>
      </c>
      <c r="R177" s="14">
        <f t="shared" si="106"/>
        <v>0</v>
      </c>
      <c r="S177" s="14">
        <f>IF(M166=0,0,R177/$R$182)</f>
        <v>0</v>
      </c>
      <c r="T177" s="14">
        <f t="shared" si="107"/>
        <v>0</v>
      </c>
    </row>
    <row r="178" spans="1:20" x14ac:dyDescent="0.35">
      <c r="A178" s="44">
        <f>'Data Kriteria'!I17</f>
        <v>1</v>
      </c>
      <c r="B178" s="30">
        <f>'Data Kriteria'!B17</f>
        <v>0</v>
      </c>
      <c r="C178" s="81">
        <f>IF(OR(C165=1,$A$178=1),1,$A$178/C165)</f>
        <v>1</v>
      </c>
      <c r="D178" s="81">
        <f t="shared" ref="D178:Q178" si="117">IF(OR(D165=1,$A$178=1),1,$A$178/D165)</f>
        <v>1</v>
      </c>
      <c r="E178" s="81">
        <f t="shared" si="117"/>
        <v>1</v>
      </c>
      <c r="F178" s="81">
        <f t="shared" si="117"/>
        <v>1</v>
      </c>
      <c r="G178" s="81">
        <f t="shared" si="117"/>
        <v>1</v>
      </c>
      <c r="H178" s="81">
        <f t="shared" si="117"/>
        <v>1</v>
      </c>
      <c r="I178" s="81">
        <f t="shared" si="117"/>
        <v>1</v>
      </c>
      <c r="J178" s="81">
        <f t="shared" si="117"/>
        <v>1</v>
      </c>
      <c r="K178" s="81">
        <f t="shared" si="117"/>
        <v>1</v>
      </c>
      <c r="L178" s="81">
        <f t="shared" si="117"/>
        <v>1</v>
      </c>
      <c r="M178" s="81">
        <f t="shared" si="117"/>
        <v>1</v>
      </c>
      <c r="N178" s="81">
        <f t="shared" si="117"/>
        <v>1</v>
      </c>
      <c r="O178" s="81">
        <f t="shared" si="117"/>
        <v>1</v>
      </c>
      <c r="P178" s="81">
        <f t="shared" si="117"/>
        <v>1</v>
      </c>
      <c r="Q178" s="81">
        <f t="shared" si="117"/>
        <v>1</v>
      </c>
      <c r="R178" s="14">
        <f t="shared" si="106"/>
        <v>0</v>
      </c>
      <c r="S178" s="14">
        <f>IF(N166=0,0,R178/$R$182)</f>
        <v>0</v>
      </c>
      <c r="T178" s="14">
        <f t="shared" si="107"/>
        <v>0</v>
      </c>
    </row>
    <row r="179" spans="1:20" x14ac:dyDescent="0.35">
      <c r="A179" s="44">
        <f>'Data Kriteria'!I18</f>
        <v>1</v>
      </c>
      <c r="B179" s="30">
        <f>'Data Kriteria'!B18</f>
        <v>0</v>
      </c>
      <c r="C179" s="81">
        <f>IF(OR(C165=1,$A$179=1),1,$A$179/C165)</f>
        <v>1</v>
      </c>
      <c r="D179" s="81">
        <f t="shared" ref="D179:Q179" si="118">IF(OR(D165=1,$A$179=1),1,$A$179/D165)</f>
        <v>1</v>
      </c>
      <c r="E179" s="81">
        <f t="shared" si="118"/>
        <v>1</v>
      </c>
      <c r="F179" s="81">
        <f t="shared" si="118"/>
        <v>1</v>
      </c>
      <c r="G179" s="81">
        <f t="shared" si="118"/>
        <v>1</v>
      </c>
      <c r="H179" s="81">
        <f t="shared" si="118"/>
        <v>1</v>
      </c>
      <c r="I179" s="81">
        <f t="shared" si="118"/>
        <v>1</v>
      </c>
      <c r="J179" s="81">
        <f t="shared" si="118"/>
        <v>1</v>
      </c>
      <c r="K179" s="81">
        <f t="shared" si="118"/>
        <v>1</v>
      </c>
      <c r="L179" s="81">
        <f t="shared" si="118"/>
        <v>1</v>
      </c>
      <c r="M179" s="81">
        <f t="shared" si="118"/>
        <v>1</v>
      </c>
      <c r="N179" s="81">
        <f t="shared" si="118"/>
        <v>1</v>
      </c>
      <c r="O179" s="81">
        <f t="shared" si="118"/>
        <v>1</v>
      </c>
      <c r="P179" s="81">
        <f t="shared" si="118"/>
        <v>1</v>
      </c>
      <c r="Q179" s="81">
        <f t="shared" si="118"/>
        <v>1</v>
      </c>
      <c r="R179" s="14">
        <f t="shared" si="106"/>
        <v>0</v>
      </c>
      <c r="S179" s="14">
        <f>IF(O166=0,0,R179/$R$182)</f>
        <v>0</v>
      </c>
      <c r="T179" s="14">
        <f t="shared" si="107"/>
        <v>0</v>
      </c>
    </row>
    <row r="180" spans="1:20" x14ac:dyDescent="0.35">
      <c r="A180" s="44">
        <f>'Data Kriteria'!I19</f>
        <v>1</v>
      </c>
      <c r="B180" s="30">
        <f>'Data Kriteria'!B19</f>
        <v>0</v>
      </c>
      <c r="C180" s="81">
        <f>IF(OR(C165=1,$A$180=1),1,$A$180/C165)</f>
        <v>1</v>
      </c>
      <c r="D180" s="81">
        <f t="shared" ref="D180:Q180" si="119">IF(OR(D165=1,$A$180=1),1,$A$180/D165)</f>
        <v>1</v>
      </c>
      <c r="E180" s="81">
        <f t="shared" si="119"/>
        <v>1</v>
      </c>
      <c r="F180" s="81">
        <f t="shared" si="119"/>
        <v>1</v>
      </c>
      <c r="G180" s="81">
        <f t="shared" si="119"/>
        <v>1</v>
      </c>
      <c r="H180" s="81">
        <f t="shared" si="119"/>
        <v>1</v>
      </c>
      <c r="I180" s="81">
        <f t="shared" si="119"/>
        <v>1</v>
      </c>
      <c r="J180" s="81">
        <f t="shared" si="119"/>
        <v>1</v>
      </c>
      <c r="K180" s="81">
        <f t="shared" si="119"/>
        <v>1</v>
      </c>
      <c r="L180" s="81">
        <f t="shared" si="119"/>
        <v>1</v>
      </c>
      <c r="M180" s="81">
        <f t="shared" si="119"/>
        <v>1</v>
      </c>
      <c r="N180" s="81">
        <f t="shared" si="119"/>
        <v>1</v>
      </c>
      <c r="O180" s="81">
        <f t="shared" si="119"/>
        <v>1</v>
      </c>
      <c r="P180" s="81">
        <f t="shared" si="119"/>
        <v>1</v>
      </c>
      <c r="Q180" s="81">
        <f t="shared" si="119"/>
        <v>1</v>
      </c>
      <c r="R180" s="14">
        <f t="shared" si="106"/>
        <v>0</v>
      </c>
      <c r="S180" s="14">
        <f>IF(P166=0,0,R180/$R$182)</f>
        <v>0</v>
      </c>
      <c r="T180" s="14">
        <f t="shared" si="107"/>
        <v>0</v>
      </c>
    </row>
    <row r="181" spans="1:20" x14ac:dyDescent="0.35">
      <c r="A181" s="44">
        <f>'Data Kriteria'!I20</f>
        <v>1</v>
      </c>
      <c r="B181" s="30">
        <f>'Data Kriteria'!B20</f>
        <v>0</v>
      </c>
      <c r="C181" s="81">
        <f>IF(OR(C165=1,$A$181=1),1,$A$181/C165)</f>
        <v>1</v>
      </c>
      <c r="D181" s="81">
        <f t="shared" ref="D181:Q181" si="120">IF(OR(D165=1,$A$181=1),1,$A$181/D165)</f>
        <v>1</v>
      </c>
      <c r="E181" s="81">
        <f t="shared" si="120"/>
        <v>1</v>
      </c>
      <c r="F181" s="81">
        <f t="shared" si="120"/>
        <v>1</v>
      </c>
      <c r="G181" s="81">
        <f t="shared" si="120"/>
        <v>1</v>
      </c>
      <c r="H181" s="81">
        <f t="shared" si="120"/>
        <v>1</v>
      </c>
      <c r="I181" s="81">
        <f t="shared" si="120"/>
        <v>1</v>
      </c>
      <c r="J181" s="81">
        <f t="shared" si="120"/>
        <v>1</v>
      </c>
      <c r="K181" s="81">
        <f t="shared" si="120"/>
        <v>1</v>
      </c>
      <c r="L181" s="81">
        <f t="shared" si="120"/>
        <v>1</v>
      </c>
      <c r="M181" s="81">
        <f t="shared" si="120"/>
        <v>1</v>
      </c>
      <c r="N181" s="81">
        <f t="shared" si="120"/>
        <v>1</v>
      </c>
      <c r="O181" s="81">
        <f t="shared" si="120"/>
        <v>1</v>
      </c>
      <c r="P181" s="81">
        <f t="shared" si="120"/>
        <v>1</v>
      </c>
      <c r="Q181" s="81">
        <f t="shared" si="120"/>
        <v>1</v>
      </c>
      <c r="R181" s="14">
        <f t="shared" si="106"/>
        <v>0</v>
      </c>
      <c r="S181" s="14">
        <f>IF(Q166=0,0,R181/$R$182)</f>
        <v>0</v>
      </c>
      <c r="T181" s="14">
        <f t="shared" si="107"/>
        <v>0</v>
      </c>
    </row>
    <row r="182" spans="1:20" x14ac:dyDescent="0.35">
      <c r="R182" s="14">
        <f>SUM(R167:R181)</f>
        <v>0</v>
      </c>
      <c r="S182" s="14">
        <f>SUM(S167:S181)</f>
        <v>0</v>
      </c>
      <c r="T182" s="15">
        <f>MAX(T167:T181)</f>
        <v>0</v>
      </c>
    </row>
    <row r="184" spans="1:20" ht="15" thickBot="1" x14ac:dyDescent="0.4">
      <c r="S184" s="5" t="s">
        <v>49</v>
      </c>
      <c r="T184" s="16">
        <f>T182</f>
        <v>0</v>
      </c>
    </row>
    <row r="185" spans="1:20" ht="15" thickBot="1" x14ac:dyDescent="0.4">
      <c r="B185" s="4" t="s">
        <v>38</v>
      </c>
      <c r="C185" s="4"/>
      <c r="D185" s="4"/>
      <c r="E185" s="51">
        <f>E158</f>
        <v>0</v>
      </c>
      <c r="S185" s="6" t="s">
        <v>39</v>
      </c>
      <c r="T185" s="3">
        <f>(T184-15)/(15-1)</f>
        <v>-1.0714285714285714</v>
      </c>
    </row>
    <row r="186" spans="1:20" x14ac:dyDescent="0.35">
      <c r="S186" s="6" t="s">
        <v>40</v>
      </c>
      <c r="T186" s="57" t="b">
        <f>IF(E185=E187,E188,IF(E185=F187,F188,IF(E185=G187,G188,IF(E185=H187,H188,IF(E185=I187,I188,IF(E185=J187,J188,IF(E185=K187,K188,IF(E185=L187,L188,IF(E185=M187,M188,IF(E185=N187,N188,IF(E185=O187,O188,IF(E185=P187,P188,IF(E185=Q187,Q188)))))))))))))</f>
        <v>0</v>
      </c>
    </row>
    <row r="187" spans="1:20" x14ac:dyDescent="0.35">
      <c r="B187" s="2" t="s">
        <v>41</v>
      </c>
      <c r="C187" s="2">
        <v>1</v>
      </c>
      <c r="D187" s="2">
        <v>2</v>
      </c>
      <c r="E187" s="2">
        <v>3</v>
      </c>
      <c r="F187" s="2">
        <v>4</v>
      </c>
      <c r="G187" s="2">
        <v>5</v>
      </c>
      <c r="H187" s="2">
        <v>6</v>
      </c>
      <c r="I187" s="2">
        <v>7</v>
      </c>
      <c r="J187" s="2">
        <v>8</v>
      </c>
      <c r="K187" s="2">
        <v>9</v>
      </c>
      <c r="L187" s="2">
        <v>10</v>
      </c>
      <c r="M187" s="2">
        <v>11</v>
      </c>
      <c r="N187" s="2">
        <v>12</v>
      </c>
      <c r="O187" s="2">
        <v>13</v>
      </c>
      <c r="P187" s="2">
        <v>14</v>
      </c>
      <c r="Q187" s="2">
        <v>15</v>
      </c>
      <c r="S187" s="6" t="s">
        <v>42</v>
      </c>
      <c r="T187" s="16" t="e">
        <f>T185/T186</f>
        <v>#DIV/0!</v>
      </c>
    </row>
    <row r="188" spans="1:20" x14ac:dyDescent="0.35">
      <c r="B188" s="2" t="s">
        <v>40</v>
      </c>
      <c r="C188" s="87">
        <v>0</v>
      </c>
      <c r="D188" s="87">
        <v>0</v>
      </c>
      <c r="E188" s="87">
        <v>0.57999999999999996</v>
      </c>
      <c r="F188" s="87">
        <v>0.9</v>
      </c>
      <c r="G188" s="87">
        <v>1.1200000000000001</v>
      </c>
      <c r="H188" s="87">
        <v>1.24</v>
      </c>
      <c r="I188" s="87">
        <v>1.32</v>
      </c>
      <c r="J188" s="87">
        <v>1.41</v>
      </c>
      <c r="K188" s="87">
        <v>1.45</v>
      </c>
      <c r="L188" s="87">
        <v>1.49</v>
      </c>
      <c r="M188" s="87">
        <v>1.51</v>
      </c>
      <c r="N188" s="87">
        <v>1.54</v>
      </c>
      <c r="O188" s="87">
        <v>1.56</v>
      </c>
      <c r="P188" s="87">
        <v>1.57</v>
      </c>
      <c r="Q188" s="87">
        <v>1.58</v>
      </c>
    </row>
    <row r="189" spans="1:20" x14ac:dyDescent="0.35">
      <c r="S189" s="6" t="s">
        <v>43</v>
      </c>
      <c r="T189" s="1" t="s">
        <v>44</v>
      </c>
    </row>
    <row r="190" spans="1:20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x14ac:dyDescent="0.35">
      <c r="A191" s="46" t="s">
        <v>46</v>
      </c>
      <c r="B191" s="88">
        <f>'Data Kriteria'!J5</f>
        <v>0</v>
      </c>
    </row>
    <row r="192" spans="1:20" x14ac:dyDescent="0.35">
      <c r="C192" s="44" cm="1">
        <f t="array" ref="C192:Q192">TRANSPOSE(A194:A208)</f>
        <v>1</v>
      </c>
      <c r="D192" s="44">
        <v>1</v>
      </c>
      <c r="E192" s="44">
        <v>1</v>
      </c>
      <c r="F192" s="44">
        <v>1</v>
      </c>
      <c r="G192" s="44">
        <v>1</v>
      </c>
      <c r="H192" s="44">
        <v>1</v>
      </c>
      <c r="I192" s="44">
        <v>1</v>
      </c>
      <c r="J192" s="44">
        <v>1</v>
      </c>
      <c r="K192" s="44">
        <v>1</v>
      </c>
      <c r="L192" s="44">
        <v>1</v>
      </c>
      <c r="M192" s="44">
        <v>1</v>
      </c>
      <c r="N192" s="44">
        <v>1</v>
      </c>
      <c r="O192" s="44">
        <v>1</v>
      </c>
      <c r="P192" s="44">
        <v>1</v>
      </c>
      <c r="Q192" s="44">
        <v>1</v>
      </c>
    </row>
    <row r="193" spans="1:20" x14ac:dyDescent="0.35">
      <c r="B193" s="83">
        <v>8</v>
      </c>
      <c r="C193" s="30" cm="1">
        <f t="array" ref="C193:Q193">TRANSPOSE(B194:B208)</f>
        <v>0</v>
      </c>
      <c r="D193" s="30">
        <v>0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86" t="s">
        <v>47</v>
      </c>
      <c r="S193" s="45" t="s">
        <v>35</v>
      </c>
      <c r="T193" s="45" t="s">
        <v>48</v>
      </c>
    </row>
    <row r="194" spans="1:20" x14ac:dyDescent="0.35">
      <c r="A194" s="44">
        <f>'Data Kriteria'!J6</f>
        <v>1</v>
      </c>
      <c r="B194" s="30">
        <f>'Data Kriteria'!B6</f>
        <v>0</v>
      </c>
      <c r="C194" s="81">
        <f>IF(OR(C192=1,$A$194=1),1,$A$194/C192)</f>
        <v>1</v>
      </c>
      <c r="D194" s="81">
        <f t="shared" ref="D194:Q194" si="121">IF(OR(D192=1,$A$194=1),1,$A$194/D192)</f>
        <v>1</v>
      </c>
      <c r="E194" s="81">
        <f t="shared" si="121"/>
        <v>1</v>
      </c>
      <c r="F194" s="81">
        <f t="shared" si="121"/>
        <v>1</v>
      </c>
      <c r="G194" s="81">
        <f t="shared" si="121"/>
        <v>1</v>
      </c>
      <c r="H194" s="81">
        <f t="shared" si="121"/>
        <v>1</v>
      </c>
      <c r="I194" s="81">
        <f t="shared" si="121"/>
        <v>1</v>
      </c>
      <c r="J194" s="81">
        <f t="shared" si="121"/>
        <v>1</v>
      </c>
      <c r="K194" s="81">
        <f t="shared" si="121"/>
        <v>1</v>
      </c>
      <c r="L194" s="81">
        <f t="shared" si="121"/>
        <v>1</v>
      </c>
      <c r="M194" s="81">
        <f t="shared" si="121"/>
        <v>1</v>
      </c>
      <c r="N194" s="81">
        <f t="shared" si="121"/>
        <v>1</v>
      </c>
      <c r="O194" s="81">
        <f t="shared" si="121"/>
        <v>1</v>
      </c>
      <c r="P194" s="81">
        <f t="shared" si="121"/>
        <v>1</v>
      </c>
      <c r="Q194" s="81">
        <f t="shared" si="121"/>
        <v>1</v>
      </c>
      <c r="R194" s="14">
        <f>IF(A194=1,0,(C194*D194*E194*F194*G194*H194*I194*J194*K194*L194*M194*N194*O194*P194*Q194)^(1/$E$212))</f>
        <v>0</v>
      </c>
      <c r="S194" s="14">
        <f>IF(C193=0,0,R194/$R$209)</f>
        <v>0</v>
      </c>
      <c r="T194" s="14">
        <f>IF(A194=1,0,(C194*$S$113+D194*$S$114+E194*$S$115+F194*$S$116+G194*$S$117+H194*$S$118+I194*$S$119+J194*$S$120+K194*$S$121+L194*$S$122+M194*$S$123+N194*$S$124+O194*$S$125+P194*$S$126+Q194*$S$127)/S194)</f>
        <v>0</v>
      </c>
    </row>
    <row r="195" spans="1:20" x14ac:dyDescent="0.35">
      <c r="A195" s="44">
        <f>'Data Kriteria'!J7</f>
        <v>1</v>
      </c>
      <c r="B195" s="30">
        <f>'Data Kriteria'!B7</f>
        <v>0</v>
      </c>
      <c r="C195" s="81">
        <f>IF(OR(C192=1,$A$195=1),1,$A$195/C192)</f>
        <v>1</v>
      </c>
      <c r="D195" s="81">
        <f t="shared" ref="D195:Q195" si="122">IF(OR(D192=1,$A$195=1),1,$A$195/D192)</f>
        <v>1</v>
      </c>
      <c r="E195" s="81">
        <f t="shared" si="122"/>
        <v>1</v>
      </c>
      <c r="F195" s="81">
        <f t="shared" si="122"/>
        <v>1</v>
      </c>
      <c r="G195" s="81">
        <f t="shared" si="122"/>
        <v>1</v>
      </c>
      <c r="H195" s="81">
        <f t="shared" si="122"/>
        <v>1</v>
      </c>
      <c r="I195" s="81">
        <f t="shared" si="122"/>
        <v>1</v>
      </c>
      <c r="J195" s="81">
        <f t="shared" si="122"/>
        <v>1</v>
      </c>
      <c r="K195" s="81">
        <f t="shared" si="122"/>
        <v>1</v>
      </c>
      <c r="L195" s="81">
        <f t="shared" si="122"/>
        <v>1</v>
      </c>
      <c r="M195" s="81">
        <f t="shared" si="122"/>
        <v>1</v>
      </c>
      <c r="N195" s="81">
        <f t="shared" si="122"/>
        <v>1</v>
      </c>
      <c r="O195" s="81">
        <f t="shared" si="122"/>
        <v>1</v>
      </c>
      <c r="P195" s="81">
        <f t="shared" si="122"/>
        <v>1</v>
      </c>
      <c r="Q195" s="81">
        <f t="shared" si="122"/>
        <v>1</v>
      </c>
      <c r="R195" s="14">
        <f t="shared" ref="R195:R208" si="123">IF(A195=1,0,(C195*D195*E195*F195*G195*H195*I195*J195*K195*L195*M195*N195*O195*P195*Q195)^(1/$E$212))</f>
        <v>0</v>
      </c>
      <c r="S195" s="14">
        <f>IF(D193=0,0,R195/$R$209)</f>
        <v>0</v>
      </c>
      <c r="T195" s="14">
        <f t="shared" ref="T195:T208" si="124">IF(A195=1,0,(C195*$S$113+D195*$S$114+E195*$S$115+F195*$S$116+G195*$S$117+H195*$S$118+I195*$S$119+J195*$S$120+K195*$S$121+L195*$S$122+M195*$S$123+N195*$S$124+O195*$S$125+P195*$S$126+Q195*$S$127)/S195)</f>
        <v>0</v>
      </c>
    </row>
    <row r="196" spans="1:20" x14ac:dyDescent="0.35">
      <c r="A196" s="44">
        <f>'Data Kriteria'!J8</f>
        <v>1</v>
      </c>
      <c r="B196" s="30">
        <f>'Data Kriteria'!B8</f>
        <v>0</v>
      </c>
      <c r="C196" s="81">
        <f>IF(OR(C192=1,$A$196=1),1,$A$196/C192)</f>
        <v>1</v>
      </c>
      <c r="D196" s="81">
        <f t="shared" ref="D196:Q196" si="125">IF(OR(D192=1,$A$196=1),1,$A$196/D192)</f>
        <v>1</v>
      </c>
      <c r="E196" s="81">
        <f t="shared" si="125"/>
        <v>1</v>
      </c>
      <c r="F196" s="81">
        <f t="shared" si="125"/>
        <v>1</v>
      </c>
      <c r="G196" s="81">
        <f t="shared" si="125"/>
        <v>1</v>
      </c>
      <c r="H196" s="81">
        <f t="shared" si="125"/>
        <v>1</v>
      </c>
      <c r="I196" s="81">
        <f t="shared" si="125"/>
        <v>1</v>
      </c>
      <c r="J196" s="81">
        <f t="shared" si="125"/>
        <v>1</v>
      </c>
      <c r="K196" s="81">
        <f t="shared" si="125"/>
        <v>1</v>
      </c>
      <c r="L196" s="81">
        <f t="shared" si="125"/>
        <v>1</v>
      </c>
      <c r="M196" s="81">
        <f t="shared" si="125"/>
        <v>1</v>
      </c>
      <c r="N196" s="81">
        <f t="shared" si="125"/>
        <v>1</v>
      </c>
      <c r="O196" s="81">
        <f t="shared" si="125"/>
        <v>1</v>
      </c>
      <c r="P196" s="81">
        <f t="shared" si="125"/>
        <v>1</v>
      </c>
      <c r="Q196" s="81">
        <f t="shared" si="125"/>
        <v>1</v>
      </c>
      <c r="R196" s="14">
        <f t="shared" si="123"/>
        <v>0</v>
      </c>
      <c r="S196" s="14">
        <f>IF(E193=0,0,R196/$R$209)</f>
        <v>0</v>
      </c>
      <c r="T196" s="14">
        <f t="shared" si="124"/>
        <v>0</v>
      </c>
    </row>
    <row r="197" spans="1:20" x14ac:dyDescent="0.35">
      <c r="A197" s="44">
        <f>'Data Kriteria'!J9</f>
        <v>1</v>
      </c>
      <c r="B197" s="30">
        <f>'Data Kriteria'!B9</f>
        <v>0</v>
      </c>
      <c r="C197" s="81">
        <f>IF(OR(C192=1,$A$197=1),1,$A$197/C192)</f>
        <v>1</v>
      </c>
      <c r="D197" s="81">
        <f t="shared" ref="D197:Q197" si="126">IF(OR(D192=1,$A$197=1),1,$A$197/D192)</f>
        <v>1</v>
      </c>
      <c r="E197" s="81">
        <f t="shared" si="126"/>
        <v>1</v>
      </c>
      <c r="F197" s="81">
        <f t="shared" si="126"/>
        <v>1</v>
      </c>
      <c r="G197" s="81">
        <f t="shared" si="126"/>
        <v>1</v>
      </c>
      <c r="H197" s="81">
        <f t="shared" si="126"/>
        <v>1</v>
      </c>
      <c r="I197" s="81">
        <f t="shared" si="126"/>
        <v>1</v>
      </c>
      <c r="J197" s="81">
        <f t="shared" si="126"/>
        <v>1</v>
      </c>
      <c r="K197" s="81">
        <f t="shared" si="126"/>
        <v>1</v>
      </c>
      <c r="L197" s="81">
        <f t="shared" si="126"/>
        <v>1</v>
      </c>
      <c r="M197" s="81">
        <f t="shared" si="126"/>
        <v>1</v>
      </c>
      <c r="N197" s="81">
        <f t="shared" si="126"/>
        <v>1</v>
      </c>
      <c r="O197" s="81">
        <f t="shared" si="126"/>
        <v>1</v>
      </c>
      <c r="P197" s="81">
        <f t="shared" si="126"/>
        <v>1</v>
      </c>
      <c r="Q197" s="81">
        <f t="shared" si="126"/>
        <v>1</v>
      </c>
      <c r="R197" s="14">
        <f t="shared" si="123"/>
        <v>0</v>
      </c>
      <c r="S197" s="14">
        <f>IF(F193=0,0,R197/$R$209)</f>
        <v>0</v>
      </c>
      <c r="T197" s="14">
        <f t="shared" si="124"/>
        <v>0</v>
      </c>
    </row>
    <row r="198" spans="1:20" x14ac:dyDescent="0.35">
      <c r="A198" s="44">
        <f>'Data Kriteria'!J10</f>
        <v>1</v>
      </c>
      <c r="B198" s="30">
        <f>'Data Kriteria'!B10</f>
        <v>0</v>
      </c>
      <c r="C198" s="81">
        <f>IF(OR(C192=1,$A$198=1),1,$A$198/C192)</f>
        <v>1</v>
      </c>
      <c r="D198" s="81">
        <f t="shared" ref="D198:Q198" si="127">IF(OR(D192=1,$A$198=1),1,$A$198/D192)</f>
        <v>1</v>
      </c>
      <c r="E198" s="81">
        <f t="shared" si="127"/>
        <v>1</v>
      </c>
      <c r="F198" s="81">
        <f t="shared" si="127"/>
        <v>1</v>
      </c>
      <c r="G198" s="81">
        <f t="shared" si="127"/>
        <v>1</v>
      </c>
      <c r="H198" s="81">
        <f t="shared" si="127"/>
        <v>1</v>
      </c>
      <c r="I198" s="81">
        <f t="shared" si="127"/>
        <v>1</v>
      </c>
      <c r="J198" s="81">
        <f t="shared" si="127"/>
        <v>1</v>
      </c>
      <c r="K198" s="81">
        <f t="shared" si="127"/>
        <v>1</v>
      </c>
      <c r="L198" s="81">
        <f t="shared" si="127"/>
        <v>1</v>
      </c>
      <c r="M198" s="81">
        <f t="shared" si="127"/>
        <v>1</v>
      </c>
      <c r="N198" s="81">
        <f t="shared" si="127"/>
        <v>1</v>
      </c>
      <c r="O198" s="81">
        <f t="shared" si="127"/>
        <v>1</v>
      </c>
      <c r="P198" s="81">
        <f t="shared" si="127"/>
        <v>1</v>
      </c>
      <c r="Q198" s="81">
        <f t="shared" si="127"/>
        <v>1</v>
      </c>
      <c r="R198" s="14">
        <f t="shared" si="123"/>
        <v>0</v>
      </c>
      <c r="S198" s="14">
        <f>IF(G193=0,0,R198/$R$209)</f>
        <v>0</v>
      </c>
      <c r="T198" s="14">
        <f t="shared" si="124"/>
        <v>0</v>
      </c>
    </row>
    <row r="199" spans="1:20" x14ac:dyDescent="0.35">
      <c r="A199" s="44">
        <f>'Data Kriteria'!J11</f>
        <v>1</v>
      </c>
      <c r="B199" s="30">
        <f>'Data Kriteria'!B11</f>
        <v>0</v>
      </c>
      <c r="C199" s="81">
        <f>IF(OR(C192=1,$A$199=1),1,$A$199/C192)</f>
        <v>1</v>
      </c>
      <c r="D199" s="81">
        <f t="shared" ref="D199:Q199" si="128">IF(OR(D192=1,$A$199=1),1,$A$199/D192)</f>
        <v>1</v>
      </c>
      <c r="E199" s="81">
        <f t="shared" si="128"/>
        <v>1</v>
      </c>
      <c r="F199" s="81">
        <f t="shared" si="128"/>
        <v>1</v>
      </c>
      <c r="G199" s="81">
        <f t="shared" si="128"/>
        <v>1</v>
      </c>
      <c r="H199" s="81">
        <f t="shared" si="128"/>
        <v>1</v>
      </c>
      <c r="I199" s="81">
        <f t="shared" si="128"/>
        <v>1</v>
      </c>
      <c r="J199" s="81">
        <f t="shared" si="128"/>
        <v>1</v>
      </c>
      <c r="K199" s="81">
        <f t="shared" si="128"/>
        <v>1</v>
      </c>
      <c r="L199" s="81">
        <f t="shared" si="128"/>
        <v>1</v>
      </c>
      <c r="M199" s="81">
        <f t="shared" si="128"/>
        <v>1</v>
      </c>
      <c r="N199" s="81">
        <f t="shared" si="128"/>
        <v>1</v>
      </c>
      <c r="O199" s="81">
        <f t="shared" si="128"/>
        <v>1</v>
      </c>
      <c r="P199" s="81">
        <f t="shared" si="128"/>
        <v>1</v>
      </c>
      <c r="Q199" s="81">
        <f t="shared" si="128"/>
        <v>1</v>
      </c>
      <c r="R199" s="14">
        <f t="shared" si="123"/>
        <v>0</v>
      </c>
      <c r="S199" s="14">
        <f>IF(H193=0,0,R199/$R$209)</f>
        <v>0</v>
      </c>
      <c r="T199" s="14">
        <f t="shared" si="124"/>
        <v>0</v>
      </c>
    </row>
    <row r="200" spans="1:20" x14ac:dyDescent="0.35">
      <c r="A200" s="44">
        <f>'Data Kriteria'!J12</f>
        <v>1</v>
      </c>
      <c r="B200" s="30">
        <f>'Data Kriteria'!B12</f>
        <v>0</v>
      </c>
      <c r="C200" s="81">
        <f>IF(OR(C192=1,$A$200=1),1,$A$200/C192)</f>
        <v>1</v>
      </c>
      <c r="D200" s="81">
        <f t="shared" ref="D200:Q200" si="129">IF(OR(D192=1,$A$200=1),1,$A$200/D192)</f>
        <v>1</v>
      </c>
      <c r="E200" s="81">
        <f t="shared" si="129"/>
        <v>1</v>
      </c>
      <c r="F200" s="81">
        <f t="shared" si="129"/>
        <v>1</v>
      </c>
      <c r="G200" s="81">
        <f t="shared" si="129"/>
        <v>1</v>
      </c>
      <c r="H200" s="81">
        <f t="shared" si="129"/>
        <v>1</v>
      </c>
      <c r="I200" s="81">
        <f t="shared" si="129"/>
        <v>1</v>
      </c>
      <c r="J200" s="81">
        <f t="shared" si="129"/>
        <v>1</v>
      </c>
      <c r="K200" s="81">
        <f t="shared" si="129"/>
        <v>1</v>
      </c>
      <c r="L200" s="81">
        <f t="shared" si="129"/>
        <v>1</v>
      </c>
      <c r="M200" s="81">
        <f t="shared" si="129"/>
        <v>1</v>
      </c>
      <c r="N200" s="81">
        <f t="shared" si="129"/>
        <v>1</v>
      </c>
      <c r="O200" s="81">
        <f t="shared" si="129"/>
        <v>1</v>
      </c>
      <c r="P200" s="81">
        <f t="shared" si="129"/>
        <v>1</v>
      </c>
      <c r="Q200" s="81">
        <f t="shared" si="129"/>
        <v>1</v>
      </c>
      <c r="R200" s="14">
        <f t="shared" si="123"/>
        <v>0</v>
      </c>
      <c r="S200" s="14">
        <f>IF(I1939=0,0,R200/$R$209)</f>
        <v>0</v>
      </c>
      <c r="T200" s="14">
        <f t="shared" si="124"/>
        <v>0</v>
      </c>
    </row>
    <row r="201" spans="1:20" x14ac:dyDescent="0.35">
      <c r="A201" s="44">
        <f>'Data Kriteria'!J13</f>
        <v>1</v>
      </c>
      <c r="B201" s="30">
        <f>'Data Kriteria'!B13</f>
        <v>0</v>
      </c>
      <c r="C201" s="81">
        <f>IF(OR(C192=1,$A$201=1),1,$A$201/C192)</f>
        <v>1</v>
      </c>
      <c r="D201" s="81">
        <f t="shared" ref="D201:Q201" si="130">IF(OR(D192=1,$A$201=1),1,$A$201/D192)</f>
        <v>1</v>
      </c>
      <c r="E201" s="81">
        <f t="shared" si="130"/>
        <v>1</v>
      </c>
      <c r="F201" s="81">
        <f t="shared" si="130"/>
        <v>1</v>
      </c>
      <c r="G201" s="81">
        <f t="shared" si="130"/>
        <v>1</v>
      </c>
      <c r="H201" s="81">
        <f t="shared" si="130"/>
        <v>1</v>
      </c>
      <c r="I201" s="81">
        <f t="shared" si="130"/>
        <v>1</v>
      </c>
      <c r="J201" s="81">
        <f t="shared" si="130"/>
        <v>1</v>
      </c>
      <c r="K201" s="81">
        <f t="shared" si="130"/>
        <v>1</v>
      </c>
      <c r="L201" s="81">
        <f t="shared" si="130"/>
        <v>1</v>
      </c>
      <c r="M201" s="81">
        <f t="shared" si="130"/>
        <v>1</v>
      </c>
      <c r="N201" s="81">
        <f t="shared" si="130"/>
        <v>1</v>
      </c>
      <c r="O201" s="81">
        <f t="shared" si="130"/>
        <v>1</v>
      </c>
      <c r="P201" s="81">
        <f t="shared" si="130"/>
        <v>1</v>
      </c>
      <c r="Q201" s="81">
        <f t="shared" si="130"/>
        <v>1</v>
      </c>
      <c r="R201" s="14">
        <f t="shared" si="123"/>
        <v>0</v>
      </c>
      <c r="S201" s="14">
        <f>IF(J193=0,0,R201/$R$209)</f>
        <v>0</v>
      </c>
      <c r="T201" s="14">
        <f t="shared" si="124"/>
        <v>0</v>
      </c>
    </row>
    <row r="202" spans="1:20" x14ac:dyDescent="0.35">
      <c r="A202" s="44">
        <f>'Data Kriteria'!J14</f>
        <v>1</v>
      </c>
      <c r="B202" s="30">
        <f>'Data Kriteria'!B14</f>
        <v>0</v>
      </c>
      <c r="C202" s="81">
        <f t="shared" ref="C202:Q202" si="131">IF(OR(C192=1,$A$202=1),1,$A$202/C192)</f>
        <v>1</v>
      </c>
      <c r="D202" s="81">
        <f t="shared" si="131"/>
        <v>1</v>
      </c>
      <c r="E202" s="81">
        <f t="shared" si="131"/>
        <v>1</v>
      </c>
      <c r="F202" s="81">
        <f t="shared" si="131"/>
        <v>1</v>
      </c>
      <c r="G202" s="81">
        <f t="shared" si="131"/>
        <v>1</v>
      </c>
      <c r="H202" s="81">
        <f t="shared" si="131"/>
        <v>1</v>
      </c>
      <c r="I202" s="81">
        <f t="shared" si="131"/>
        <v>1</v>
      </c>
      <c r="J202" s="81">
        <f t="shared" si="131"/>
        <v>1</v>
      </c>
      <c r="K202" s="81">
        <f t="shared" si="131"/>
        <v>1</v>
      </c>
      <c r="L202" s="81">
        <f t="shared" si="131"/>
        <v>1</v>
      </c>
      <c r="M202" s="81">
        <f t="shared" si="131"/>
        <v>1</v>
      </c>
      <c r="N202" s="81">
        <f t="shared" si="131"/>
        <v>1</v>
      </c>
      <c r="O202" s="81">
        <f t="shared" si="131"/>
        <v>1</v>
      </c>
      <c r="P202" s="81">
        <f t="shared" si="131"/>
        <v>1</v>
      </c>
      <c r="Q202" s="81">
        <f t="shared" si="131"/>
        <v>1</v>
      </c>
      <c r="R202" s="14">
        <f t="shared" si="123"/>
        <v>0</v>
      </c>
      <c r="S202" s="14">
        <f>IF(K193=0,0,R202/$R$209)</f>
        <v>0</v>
      </c>
      <c r="T202" s="14">
        <f t="shared" si="124"/>
        <v>0</v>
      </c>
    </row>
    <row r="203" spans="1:20" x14ac:dyDescent="0.35">
      <c r="A203" s="44">
        <f>'Data Kriteria'!J15</f>
        <v>1</v>
      </c>
      <c r="B203" s="30">
        <f>'Data Kriteria'!B15</f>
        <v>0</v>
      </c>
      <c r="C203" s="81">
        <f>IF(OR(C192=1,$A$203=1),1,$A$203/C192)</f>
        <v>1</v>
      </c>
      <c r="D203" s="81">
        <f t="shared" ref="D203:Q203" si="132">IF(OR(D192=1,$A$203=1),1,$A$203/D192)</f>
        <v>1</v>
      </c>
      <c r="E203" s="81">
        <f t="shared" si="132"/>
        <v>1</v>
      </c>
      <c r="F203" s="81">
        <f t="shared" si="132"/>
        <v>1</v>
      </c>
      <c r="G203" s="81">
        <f t="shared" si="132"/>
        <v>1</v>
      </c>
      <c r="H203" s="81">
        <f t="shared" si="132"/>
        <v>1</v>
      </c>
      <c r="I203" s="81">
        <f t="shared" si="132"/>
        <v>1</v>
      </c>
      <c r="J203" s="81">
        <f t="shared" si="132"/>
        <v>1</v>
      </c>
      <c r="K203" s="81">
        <f t="shared" si="132"/>
        <v>1</v>
      </c>
      <c r="L203" s="81">
        <f t="shared" si="132"/>
        <v>1</v>
      </c>
      <c r="M203" s="81">
        <f t="shared" si="132"/>
        <v>1</v>
      </c>
      <c r="N203" s="81">
        <f t="shared" si="132"/>
        <v>1</v>
      </c>
      <c r="O203" s="81">
        <f t="shared" si="132"/>
        <v>1</v>
      </c>
      <c r="P203" s="81">
        <f t="shared" si="132"/>
        <v>1</v>
      </c>
      <c r="Q203" s="81">
        <f t="shared" si="132"/>
        <v>1</v>
      </c>
      <c r="R203" s="14">
        <f t="shared" si="123"/>
        <v>0</v>
      </c>
      <c r="S203" s="14">
        <f>IF(L193=0,0,R203/$R$209)</f>
        <v>0</v>
      </c>
      <c r="T203" s="14">
        <f t="shared" si="124"/>
        <v>0</v>
      </c>
    </row>
    <row r="204" spans="1:20" x14ac:dyDescent="0.35">
      <c r="A204" s="44">
        <f>'Data Kriteria'!J16</f>
        <v>1</v>
      </c>
      <c r="B204" s="30">
        <f>'Data Kriteria'!B16</f>
        <v>0</v>
      </c>
      <c r="C204" s="81">
        <f>IF(OR(C192=1,$A$204=1),1,$A$204/C192)</f>
        <v>1</v>
      </c>
      <c r="D204" s="81">
        <f t="shared" ref="D204:Q204" si="133">IF(OR(D192=1,$A$204=1),1,$A$204/D192)</f>
        <v>1</v>
      </c>
      <c r="E204" s="81">
        <f t="shared" si="133"/>
        <v>1</v>
      </c>
      <c r="F204" s="81">
        <f t="shared" si="133"/>
        <v>1</v>
      </c>
      <c r="G204" s="81">
        <f t="shared" si="133"/>
        <v>1</v>
      </c>
      <c r="H204" s="81">
        <f t="shared" si="133"/>
        <v>1</v>
      </c>
      <c r="I204" s="81">
        <f t="shared" si="133"/>
        <v>1</v>
      </c>
      <c r="J204" s="81">
        <f t="shared" si="133"/>
        <v>1</v>
      </c>
      <c r="K204" s="81">
        <f t="shared" si="133"/>
        <v>1</v>
      </c>
      <c r="L204" s="81">
        <f t="shared" si="133"/>
        <v>1</v>
      </c>
      <c r="M204" s="81">
        <f t="shared" si="133"/>
        <v>1</v>
      </c>
      <c r="N204" s="81">
        <f t="shared" si="133"/>
        <v>1</v>
      </c>
      <c r="O204" s="81">
        <f t="shared" si="133"/>
        <v>1</v>
      </c>
      <c r="P204" s="81">
        <f t="shared" si="133"/>
        <v>1</v>
      </c>
      <c r="Q204" s="81">
        <f t="shared" si="133"/>
        <v>1</v>
      </c>
      <c r="R204" s="14">
        <f t="shared" si="123"/>
        <v>0</v>
      </c>
      <c r="S204" s="14">
        <f>IF(M193=0,0,R204/$R$209)</f>
        <v>0</v>
      </c>
      <c r="T204" s="14">
        <f t="shared" si="124"/>
        <v>0</v>
      </c>
    </row>
    <row r="205" spans="1:20" x14ac:dyDescent="0.35">
      <c r="A205" s="44">
        <f>'Data Kriteria'!J17</f>
        <v>1</v>
      </c>
      <c r="B205" s="30">
        <f>'Data Kriteria'!B17</f>
        <v>0</v>
      </c>
      <c r="C205" s="81">
        <f>IF(OR(C192=1,$A$205=1),1,$A$205/C192)</f>
        <v>1</v>
      </c>
      <c r="D205" s="81">
        <f t="shared" ref="D205:Q205" si="134">IF(OR(D192=1,$A$205=1),1,$A$205/D192)</f>
        <v>1</v>
      </c>
      <c r="E205" s="81">
        <f t="shared" si="134"/>
        <v>1</v>
      </c>
      <c r="F205" s="81">
        <f t="shared" si="134"/>
        <v>1</v>
      </c>
      <c r="G205" s="81">
        <f t="shared" si="134"/>
        <v>1</v>
      </c>
      <c r="H205" s="81">
        <f t="shared" si="134"/>
        <v>1</v>
      </c>
      <c r="I205" s="81">
        <f t="shared" si="134"/>
        <v>1</v>
      </c>
      <c r="J205" s="81">
        <f t="shared" si="134"/>
        <v>1</v>
      </c>
      <c r="K205" s="81">
        <f t="shared" si="134"/>
        <v>1</v>
      </c>
      <c r="L205" s="81">
        <f t="shared" si="134"/>
        <v>1</v>
      </c>
      <c r="M205" s="81">
        <f t="shared" si="134"/>
        <v>1</v>
      </c>
      <c r="N205" s="81">
        <f t="shared" si="134"/>
        <v>1</v>
      </c>
      <c r="O205" s="81">
        <f t="shared" si="134"/>
        <v>1</v>
      </c>
      <c r="P205" s="81">
        <f t="shared" si="134"/>
        <v>1</v>
      </c>
      <c r="Q205" s="81">
        <f t="shared" si="134"/>
        <v>1</v>
      </c>
      <c r="R205" s="14">
        <f t="shared" si="123"/>
        <v>0</v>
      </c>
      <c r="S205" s="14">
        <f>IF(N193=0,0,R205/$R$209)</f>
        <v>0</v>
      </c>
      <c r="T205" s="14">
        <f t="shared" si="124"/>
        <v>0</v>
      </c>
    </row>
    <row r="206" spans="1:20" x14ac:dyDescent="0.35">
      <c r="A206" s="44">
        <f>'Data Kriteria'!J18</f>
        <v>1</v>
      </c>
      <c r="B206" s="30">
        <f>'Data Kriteria'!B18</f>
        <v>0</v>
      </c>
      <c r="C206" s="81">
        <f>IF(OR(C192=1,$A$206=1),1,$A$206/C192)</f>
        <v>1</v>
      </c>
      <c r="D206" s="81">
        <f t="shared" ref="D206:Q206" si="135">IF(OR(D192=1,$A$206=1),1,$A$206/D192)</f>
        <v>1</v>
      </c>
      <c r="E206" s="81">
        <f t="shared" si="135"/>
        <v>1</v>
      </c>
      <c r="F206" s="81">
        <f t="shared" si="135"/>
        <v>1</v>
      </c>
      <c r="G206" s="81">
        <f t="shared" si="135"/>
        <v>1</v>
      </c>
      <c r="H206" s="81">
        <f t="shared" si="135"/>
        <v>1</v>
      </c>
      <c r="I206" s="81">
        <f t="shared" si="135"/>
        <v>1</v>
      </c>
      <c r="J206" s="81">
        <f t="shared" si="135"/>
        <v>1</v>
      </c>
      <c r="K206" s="81">
        <f t="shared" si="135"/>
        <v>1</v>
      </c>
      <c r="L206" s="81">
        <f t="shared" si="135"/>
        <v>1</v>
      </c>
      <c r="M206" s="81">
        <f t="shared" si="135"/>
        <v>1</v>
      </c>
      <c r="N206" s="81">
        <f t="shared" si="135"/>
        <v>1</v>
      </c>
      <c r="O206" s="81">
        <f t="shared" si="135"/>
        <v>1</v>
      </c>
      <c r="P206" s="81">
        <f t="shared" si="135"/>
        <v>1</v>
      </c>
      <c r="Q206" s="81">
        <f t="shared" si="135"/>
        <v>1</v>
      </c>
      <c r="R206" s="14">
        <f t="shared" si="123"/>
        <v>0</v>
      </c>
      <c r="S206" s="14">
        <f>IF(O193=0,0,R206/$R$209)</f>
        <v>0</v>
      </c>
      <c r="T206" s="14">
        <f t="shared" si="124"/>
        <v>0</v>
      </c>
    </row>
    <row r="207" spans="1:20" x14ac:dyDescent="0.35">
      <c r="A207" s="44">
        <f>'Data Kriteria'!J19</f>
        <v>1</v>
      </c>
      <c r="B207" s="30">
        <f>'Data Kriteria'!B19</f>
        <v>0</v>
      </c>
      <c r="C207" s="81">
        <f>IF(OR(C192=1,$A$207=1),1,$A$207/C192)</f>
        <v>1</v>
      </c>
      <c r="D207" s="81">
        <f t="shared" ref="D207:Q207" si="136">IF(OR(D192=1,$A$207=1),1,$A$207/D192)</f>
        <v>1</v>
      </c>
      <c r="E207" s="81">
        <f t="shared" si="136"/>
        <v>1</v>
      </c>
      <c r="F207" s="81">
        <f t="shared" si="136"/>
        <v>1</v>
      </c>
      <c r="G207" s="81">
        <f t="shared" si="136"/>
        <v>1</v>
      </c>
      <c r="H207" s="81">
        <f t="shared" si="136"/>
        <v>1</v>
      </c>
      <c r="I207" s="81">
        <f t="shared" si="136"/>
        <v>1</v>
      </c>
      <c r="J207" s="81">
        <f t="shared" si="136"/>
        <v>1</v>
      </c>
      <c r="K207" s="81">
        <f t="shared" si="136"/>
        <v>1</v>
      </c>
      <c r="L207" s="81">
        <f t="shared" si="136"/>
        <v>1</v>
      </c>
      <c r="M207" s="81">
        <f t="shared" si="136"/>
        <v>1</v>
      </c>
      <c r="N207" s="81">
        <f t="shared" si="136"/>
        <v>1</v>
      </c>
      <c r="O207" s="81">
        <f t="shared" si="136"/>
        <v>1</v>
      </c>
      <c r="P207" s="81">
        <f t="shared" si="136"/>
        <v>1</v>
      </c>
      <c r="Q207" s="81">
        <f t="shared" si="136"/>
        <v>1</v>
      </c>
      <c r="R207" s="14">
        <f t="shared" si="123"/>
        <v>0</v>
      </c>
      <c r="S207" s="14">
        <f>IF(P193=0,0,R207/$R$209)</f>
        <v>0</v>
      </c>
      <c r="T207" s="14">
        <f t="shared" si="124"/>
        <v>0</v>
      </c>
    </row>
    <row r="208" spans="1:20" x14ac:dyDescent="0.35">
      <c r="A208" s="44">
        <f>'Data Kriteria'!J20</f>
        <v>1</v>
      </c>
      <c r="B208" s="30">
        <f>'Data Kriteria'!B20</f>
        <v>0</v>
      </c>
      <c r="C208" s="81">
        <f>IF(OR(C192=1,$A$208=1),1,$A$208/C192)</f>
        <v>1</v>
      </c>
      <c r="D208" s="81">
        <f t="shared" ref="D208:Q208" si="137">IF(OR(D192=1,$A$208=1),1,$A$208/D192)</f>
        <v>1</v>
      </c>
      <c r="E208" s="81">
        <f t="shared" si="137"/>
        <v>1</v>
      </c>
      <c r="F208" s="81">
        <f t="shared" si="137"/>
        <v>1</v>
      </c>
      <c r="G208" s="81">
        <f t="shared" si="137"/>
        <v>1</v>
      </c>
      <c r="H208" s="81">
        <f t="shared" si="137"/>
        <v>1</v>
      </c>
      <c r="I208" s="81">
        <f t="shared" si="137"/>
        <v>1</v>
      </c>
      <c r="J208" s="81">
        <f t="shared" si="137"/>
        <v>1</v>
      </c>
      <c r="K208" s="81">
        <f t="shared" si="137"/>
        <v>1</v>
      </c>
      <c r="L208" s="81">
        <f t="shared" si="137"/>
        <v>1</v>
      </c>
      <c r="M208" s="81">
        <f t="shared" si="137"/>
        <v>1</v>
      </c>
      <c r="N208" s="81">
        <f t="shared" si="137"/>
        <v>1</v>
      </c>
      <c r="O208" s="81">
        <f t="shared" si="137"/>
        <v>1</v>
      </c>
      <c r="P208" s="81">
        <f t="shared" si="137"/>
        <v>1</v>
      </c>
      <c r="Q208" s="81">
        <f t="shared" si="137"/>
        <v>1</v>
      </c>
      <c r="R208" s="14">
        <f t="shared" si="123"/>
        <v>0</v>
      </c>
      <c r="S208" s="14">
        <f>IF(Q193=0,0,R208/$R$209)</f>
        <v>0</v>
      </c>
      <c r="T208" s="14">
        <f t="shared" si="124"/>
        <v>0</v>
      </c>
    </row>
    <row r="209" spans="1:20" x14ac:dyDescent="0.35">
      <c r="R209" s="14">
        <f>SUM(R194:R208)</f>
        <v>0</v>
      </c>
      <c r="S209" s="14">
        <f>SUM(S194:S208)</f>
        <v>0</v>
      </c>
      <c r="T209" s="15">
        <f>MAX(T194:T208)</f>
        <v>0</v>
      </c>
    </row>
    <row r="211" spans="1:20" ht="15" thickBot="1" x14ac:dyDescent="0.4">
      <c r="S211" s="5" t="s">
        <v>49</v>
      </c>
      <c r="T211" s="16">
        <f>T209</f>
        <v>0</v>
      </c>
    </row>
    <row r="212" spans="1:20" ht="15" thickBot="1" x14ac:dyDescent="0.4">
      <c r="B212" s="4" t="s">
        <v>38</v>
      </c>
      <c r="C212" s="4"/>
      <c r="D212" s="4"/>
      <c r="E212" s="51">
        <f>E185</f>
        <v>0</v>
      </c>
      <c r="S212" s="6" t="s">
        <v>39</v>
      </c>
      <c r="T212" s="3">
        <f>(T211-15)/(15-1)</f>
        <v>-1.0714285714285714</v>
      </c>
    </row>
    <row r="213" spans="1:20" x14ac:dyDescent="0.35">
      <c r="S213" s="6" t="s">
        <v>40</v>
      </c>
      <c r="T213" s="57" t="b">
        <f>IF(E212=E214,E215,IF(E212=F214,F215,IF(E212=G214,G215,IF(E212=H214,H215,IF(E212=I214,I215,IF(E212=J214,J215,IF(E212=K214,K215,IF(E212=L214,L215,IF(E212=M214,M215,IF(E212=N214,N215,IF(E212=O214,O215,IF(E212=P214,P215,IF(E212=Q214,Q215)))))))))))))</f>
        <v>0</v>
      </c>
    </row>
    <row r="214" spans="1:20" x14ac:dyDescent="0.35">
      <c r="B214" s="2" t="s">
        <v>41</v>
      </c>
      <c r="C214" s="2">
        <v>1</v>
      </c>
      <c r="D214" s="2">
        <v>2</v>
      </c>
      <c r="E214" s="2">
        <v>3</v>
      </c>
      <c r="F214" s="2">
        <v>4</v>
      </c>
      <c r="G214" s="2">
        <v>5</v>
      </c>
      <c r="H214" s="2">
        <v>6</v>
      </c>
      <c r="I214" s="2">
        <v>7</v>
      </c>
      <c r="J214" s="2">
        <v>8</v>
      </c>
      <c r="K214" s="2">
        <v>9</v>
      </c>
      <c r="L214" s="2">
        <v>10</v>
      </c>
      <c r="M214" s="2">
        <v>11</v>
      </c>
      <c r="N214" s="2">
        <v>12</v>
      </c>
      <c r="O214" s="2">
        <v>13</v>
      </c>
      <c r="P214" s="2">
        <v>14</v>
      </c>
      <c r="Q214" s="2">
        <v>15</v>
      </c>
      <c r="S214" s="6" t="s">
        <v>42</v>
      </c>
      <c r="T214" s="16" t="e">
        <f>T212/T213</f>
        <v>#DIV/0!</v>
      </c>
    </row>
    <row r="215" spans="1:20" x14ac:dyDescent="0.35">
      <c r="B215" s="2" t="s">
        <v>40</v>
      </c>
      <c r="C215" s="87">
        <v>0</v>
      </c>
      <c r="D215" s="87">
        <v>0</v>
      </c>
      <c r="E215" s="87">
        <v>0.57999999999999996</v>
      </c>
      <c r="F215" s="87">
        <v>0.9</v>
      </c>
      <c r="G215" s="87">
        <v>1.1200000000000001</v>
      </c>
      <c r="H215" s="87">
        <v>1.24</v>
      </c>
      <c r="I215" s="87">
        <v>1.32</v>
      </c>
      <c r="J215" s="87">
        <v>1.41</v>
      </c>
      <c r="K215" s="87">
        <v>1.45</v>
      </c>
      <c r="L215" s="87">
        <v>1.49</v>
      </c>
      <c r="M215" s="87">
        <v>1.51</v>
      </c>
      <c r="N215" s="87">
        <v>1.54</v>
      </c>
      <c r="O215" s="87">
        <v>1.56</v>
      </c>
      <c r="P215" s="87">
        <v>1.57</v>
      </c>
      <c r="Q215" s="87">
        <v>1.58</v>
      </c>
    </row>
    <row r="216" spans="1:20" x14ac:dyDescent="0.35">
      <c r="S216" s="6" t="s">
        <v>43</v>
      </c>
      <c r="T216" s="1" t="s">
        <v>44</v>
      </c>
    </row>
    <row r="217" spans="1:20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x14ac:dyDescent="0.35">
      <c r="A218" s="46" t="s">
        <v>46</v>
      </c>
      <c r="B218" s="88">
        <f>'Data Kriteria'!K5</f>
        <v>0</v>
      </c>
    </row>
    <row r="219" spans="1:20" x14ac:dyDescent="0.35">
      <c r="C219" s="44" cm="1">
        <f t="array" ref="C219:Q219">TRANSPOSE(A221:A235)</f>
        <v>1</v>
      </c>
      <c r="D219" s="44">
        <v>1</v>
      </c>
      <c r="E219" s="44">
        <v>1</v>
      </c>
      <c r="F219" s="44">
        <v>1</v>
      </c>
      <c r="G219" s="44">
        <v>1</v>
      </c>
      <c r="H219" s="44">
        <v>1</v>
      </c>
      <c r="I219" s="44">
        <v>1</v>
      </c>
      <c r="J219" s="44">
        <v>1</v>
      </c>
      <c r="K219" s="44">
        <v>1</v>
      </c>
      <c r="L219" s="44">
        <v>1</v>
      </c>
      <c r="M219" s="44">
        <v>1</v>
      </c>
      <c r="N219" s="44">
        <v>1</v>
      </c>
      <c r="O219" s="44">
        <v>1</v>
      </c>
      <c r="P219" s="44">
        <v>1</v>
      </c>
      <c r="Q219" s="44">
        <v>1</v>
      </c>
    </row>
    <row r="220" spans="1:20" x14ac:dyDescent="0.35">
      <c r="B220" s="83">
        <v>9</v>
      </c>
      <c r="C220" s="30" cm="1">
        <f t="array" ref="C220:Q220">TRANSPOSE(B221:B235)</f>
        <v>0</v>
      </c>
      <c r="D220" s="30">
        <v>0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86" t="s">
        <v>47</v>
      </c>
      <c r="S220" s="45" t="s">
        <v>35</v>
      </c>
      <c r="T220" s="45" t="s">
        <v>48</v>
      </c>
    </row>
    <row r="221" spans="1:20" x14ac:dyDescent="0.35">
      <c r="A221" s="44">
        <f>'Data Kriteria'!K6</f>
        <v>1</v>
      </c>
      <c r="B221" s="30">
        <f>'Data Kriteria'!B6</f>
        <v>0</v>
      </c>
      <c r="C221" s="81">
        <f>IF(OR(C219=1,$A$221=1),1,$A$221/C219)</f>
        <v>1</v>
      </c>
      <c r="D221" s="81">
        <f t="shared" ref="D221:Q221" si="138">IF(OR(D219=1,$A$221=1),1,$A$221/D219)</f>
        <v>1</v>
      </c>
      <c r="E221" s="81">
        <f t="shared" si="138"/>
        <v>1</v>
      </c>
      <c r="F221" s="81">
        <f t="shared" si="138"/>
        <v>1</v>
      </c>
      <c r="G221" s="81">
        <f t="shared" si="138"/>
        <v>1</v>
      </c>
      <c r="H221" s="81">
        <f t="shared" si="138"/>
        <v>1</v>
      </c>
      <c r="I221" s="81">
        <f t="shared" si="138"/>
        <v>1</v>
      </c>
      <c r="J221" s="81">
        <f t="shared" si="138"/>
        <v>1</v>
      </c>
      <c r="K221" s="81">
        <f t="shared" si="138"/>
        <v>1</v>
      </c>
      <c r="L221" s="81">
        <f t="shared" si="138"/>
        <v>1</v>
      </c>
      <c r="M221" s="81">
        <f t="shared" si="138"/>
        <v>1</v>
      </c>
      <c r="N221" s="81">
        <f t="shared" si="138"/>
        <v>1</v>
      </c>
      <c r="O221" s="81">
        <f t="shared" si="138"/>
        <v>1</v>
      </c>
      <c r="P221" s="81">
        <f t="shared" si="138"/>
        <v>1</v>
      </c>
      <c r="Q221" s="81">
        <f t="shared" si="138"/>
        <v>1</v>
      </c>
      <c r="R221" s="14">
        <f>IF(A221=1,0,(C221*D221*E221*F221*G221*H221*I221*J221*K221*L221*M221*N221*O221*P221*Q221)^(1/$E$239))</f>
        <v>0</v>
      </c>
      <c r="S221" s="14">
        <f>IF(C220=0,0,R221/$R$236)</f>
        <v>0</v>
      </c>
      <c r="T221" s="14">
        <f>IF(A221=1,0,(C221*$S$113+D221*$S$114+E221*$S$115+F221*$S$116+G221*$S$117+H221*$S$118+I221*$S$119+J221*$S$120+K221*$S$121+L221*$S$122+M221*$S$123+N221*$S$124+O221*$S$125+P221*$S$126+Q221*$S$127)/S221)</f>
        <v>0</v>
      </c>
    </row>
    <row r="222" spans="1:20" x14ac:dyDescent="0.35">
      <c r="A222" s="44">
        <f>'Data Kriteria'!K7</f>
        <v>1</v>
      </c>
      <c r="B222" s="30">
        <f>'Data Kriteria'!B7</f>
        <v>0</v>
      </c>
      <c r="C222" s="81">
        <f>IF(OR(C219=1,$A$222=1),1,$A$222/C219)</f>
        <v>1</v>
      </c>
      <c r="D222" s="81">
        <f t="shared" ref="D222:Q222" si="139">IF(OR(D219=1,$A$222=1),1,$A$222/D219)</f>
        <v>1</v>
      </c>
      <c r="E222" s="81">
        <f t="shared" si="139"/>
        <v>1</v>
      </c>
      <c r="F222" s="81">
        <f t="shared" si="139"/>
        <v>1</v>
      </c>
      <c r="G222" s="81">
        <f t="shared" si="139"/>
        <v>1</v>
      </c>
      <c r="H222" s="81">
        <f t="shared" si="139"/>
        <v>1</v>
      </c>
      <c r="I222" s="81">
        <f t="shared" si="139"/>
        <v>1</v>
      </c>
      <c r="J222" s="81">
        <f t="shared" si="139"/>
        <v>1</v>
      </c>
      <c r="K222" s="81">
        <f t="shared" si="139"/>
        <v>1</v>
      </c>
      <c r="L222" s="81">
        <f t="shared" si="139"/>
        <v>1</v>
      </c>
      <c r="M222" s="81">
        <f t="shared" si="139"/>
        <v>1</v>
      </c>
      <c r="N222" s="81">
        <f t="shared" si="139"/>
        <v>1</v>
      </c>
      <c r="O222" s="81">
        <f t="shared" si="139"/>
        <v>1</v>
      </c>
      <c r="P222" s="81">
        <f t="shared" si="139"/>
        <v>1</v>
      </c>
      <c r="Q222" s="81">
        <f t="shared" si="139"/>
        <v>1</v>
      </c>
      <c r="R222" s="14">
        <f t="shared" ref="R222:R235" si="140">IF(A222=1,0,(C222*D222*E222*F222*G222*H222*I222*J222*K222*L222*M222*N222*O222*P222*Q222)^(1/$E$239))</f>
        <v>0</v>
      </c>
      <c r="S222" s="14">
        <f>IF(D220=0,0,R222/$R$236)</f>
        <v>0</v>
      </c>
      <c r="T222" s="14">
        <f t="shared" ref="T222:T235" si="141">IF(A222=1,0,(C222*$S$113+D222*$S$114+E222*$S$115+F222*$S$116+G222*$S$117+H222*$S$118+I222*$S$119+J222*$S$120+K222*$S$121+L222*$S$122+M222*$S$123+N222*$S$124+O222*$S$125+P222*$S$126+Q222*$S$127)/S222)</f>
        <v>0</v>
      </c>
    </row>
    <row r="223" spans="1:20" x14ac:dyDescent="0.35">
      <c r="A223" s="44">
        <f>'Data Kriteria'!K8</f>
        <v>1</v>
      </c>
      <c r="B223" s="30">
        <f>'Data Kriteria'!B8</f>
        <v>0</v>
      </c>
      <c r="C223" s="81">
        <f>IF(OR(C219=1,$A$223=1),1,$A$223/C219)</f>
        <v>1</v>
      </c>
      <c r="D223" s="81">
        <f t="shared" ref="D223:Q223" si="142">IF(OR(D219=1,$A$223=1),1,$A$223/D219)</f>
        <v>1</v>
      </c>
      <c r="E223" s="81">
        <f t="shared" si="142"/>
        <v>1</v>
      </c>
      <c r="F223" s="81">
        <f t="shared" si="142"/>
        <v>1</v>
      </c>
      <c r="G223" s="81">
        <f t="shared" si="142"/>
        <v>1</v>
      </c>
      <c r="H223" s="81">
        <f t="shared" si="142"/>
        <v>1</v>
      </c>
      <c r="I223" s="81">
        <f t="shared" si="142"/>
        <v>1</v>
      </c>
      <c r="J223" s="81">
        <f t="shared" si="142"/>
        <v>1</v>
      </c>
      <c r="K223" s="81">
        <f t="shared" si="142"/>
        <v>1</v>
      </c>
      <c r="L223" s="81">
        <f t="shared" si="142"/>
        <v>1</v>
      </c>
      <c r="M223" s="81">
        <f t="shared" si="142"/>
        <v>1</v>
      </c>
      <c r="N223" s="81">
        <f t="shared" si="142"/>
        <v>1</v>
      </c>
      <c r="O223" s="81">
        <f t="shared" si="142"/>
        <v>1</v>
      </c>
      <c r="P223" s="81">
        <f t="shared" si="142"/>
        <v>1</v>
      </c>
      <c r="Q223" s="81">
        <f t="shared" si="142"/>
        <v>1</v>
      </c>
      <c r="R223" s="14">
        <f t="shared" si="140"/>
        <v>0</v>
      </c>
      <c r="S223" s="14">
        <f>IF(E220=0,0,R223/$R$236)</f>
        <v>0</v>
      </c>
      <c r="T223" s="14">
        <f t="shared" si="141"/>
        <v>0</v>
      </c>
    </row>
    <row r="224" spans="1:20" x14ac:dyDescent="0.35">
      <c r="A224" s="44">
        <f>'Data Kriteria'!K9</f>
        <v>1</v>
      </c>
      <c r="B224" s="30">
        <f>'Data Kriteria'!B9</f>
        <v>0</v>
      </c>
      <c r="C224" s="81">
        <f>IF(OR(C219=1,$A$224=1),1,$A$224/C219)</f>
        <v>1</v>
      </c>
      <c r="D224" s="81">
        <f t="shared" ref="D224:Q224" si="143">IF(OR(D219=1,$A$224=1),1,$A$224/D219)</f>
        <v>1</v>
      </c>
      <c r="E224" s="81">
        <f t="shared" si="143"/>
        <v>1</v>
      </c>
      <c r="F224" s="81">
        <f t="shared" si="143"/>
        <v>1</v>
      </c>
      <c r="G224" s="81">
        <f t="shared" si="143"/>
        <v>1</v>
      </c>
      <c r="H224" s="81">
        <f t="shared" si="143"/>
        <v>1</v>
      </c>
      <c r="I224" s="81">
        <f t="shared" si="143"/>
        <v>1</v>
      </c>
      <c r="J224" s="81">
        <f t="shared" si="143"/>
        <v>1</v>
      </c>
      <c r="K224" s="81">
        <f t="shared" si="143"/>
        <v>1</v>
      </c>
      <c r="L224" s="81">
        <f t="shared" si="143"/>
        <v>1</v>
      </c>
      <c r="M224" s="81">
        <f t="shared" si="143"/>
        <v>1</v>
      </c>
      <c r="N224" s="81">
        <f t="shared" si="143"/>
        <v>1</v>
      </c>
      <c r="O224" s="81">
        <f t="shared" si="143"/>
        <v>1</v>
      </c>
      <c r="P224" s="81">
        <f t="shared" si="143"/>
        <v>1</v>
      </c>
      <c r="Q224" s="81">
        <f t="shared" si="143"/>
        <v>1</v>
      </c>
      <c r="R224" s="14">
        <f t="shared" si="140"/>
        <v>0</v>
      </c>
      <c r="S224" s="14">
        <f>IF(F220=0,0,R224/$R$236)</f>
        <v>0</v>
      </c>
      <c r="T224" s="14">
        <f t="shared" si="141"/>
        <v>0</v>
      </c>
    </row>
    <row r="225" spans="1:20" x14ac:dyDescent="0.35">
      <c r="A225" s="44">
        <f>'Data Kriteria'!K10</f>
        <v>1</v>
      </c>
      <c r="B225" s="30">
        <f>'Data Kriteria'!B10</f>
        <v>0</v>
      </c>
      <c r="C225" s="81">
        <f>IF(OR(C219=1,$A$225=1),1,$A$225/C219)</f>
        <v>1</v>
      </c>
      <c r="D225" s="81">
        <f t="shared" ref="D225:Q225" si="144">IF(OR(D219=1,$A$225=1),1,$A$225/D219)</f>
        <v>1</v>
      </c>
      <c r="E225" s="81">
        <f t="shared" si="144"/>
        <v>1</v>
      </c>
      <c r="F225" s="81">
        <f t="shared" si="144"/>
        <v>1</v>
      </c>
      <c r="G225" s="81">
        <f t="shared" si="144"/>
        <v>1</v>
      </c>
      <c r="H225" s="81">
        <f t="shared" si="144"/>
        <v>1</v>
      </c>
      <c r="I225" s="81">
        <f t="shared" si="144"/>
        <v>1</v>
      </c>
      <c r="J225" s="81">
        <f t="shared" si="144"/>
        <v>1</v>
      </c>
      <c r="K225" s="81">
        <f t="shared" si="144"/>
        <v>1</v>
      </c>
      <c r="L225" s="81">
        <f t="shared" si="144"/>
        <v>1</v>
      </c>
      <c r="M225" s="81">
        <f t="shared" si="144"/>
        <v>1</v>
      </c>
      <c r="N225" s="81">
        <f t="shared" si="144"/>
        <v>1</v>
      </c>
      <c r="O225" s="81">
        <f t="shared" si="144"/>
        <v>1</v>
      </c>
      <c r="P225" s="81">
        <f t="shared" si="144"/>
        <v>1</v>
      </c>
      <c r="Q225" s="81">
        <f t="shared" si="144"/>
        <v>1</v>
      </c>
      <c r="R225" s="14">
        <f t="shared" si="140"/>
        <v>0</v>
      </c>
      <c r="S225" s="14">
        <f>IF(G220=0,0,R225/$R$236)</f>
        <v>0</v>
      </c>
      <c r="T225" s="14">
        <f t="shared" si="141"/>
        <v>0</v>
      </c>
    </row>
    <row r="226" spans="1:20" x14ac:dyDescent="0.35">
      <c r="A226" s="44">
        <f>'Data Kriteria'!K11</f>
        <v>1</v>
      </c>
      <c r="B226" s="30">
        <f>'Data Kriteria'!B11</f>
        <v>0</v>
      </c>
      <c r="C226" s="81">
        <f>IF(OR(C219=1,$A$226=1),1,$A$226/C219)</f>
        <v>1</v>
      </c>
      <c r="D226" s="81">
        <f t="shared" ref="D226:Q226" si="145">IF(OR(D219=1,$A$226=1),1,$A$226/D219)</f>
        <v>1</v>
      </c>
      <c r="E226" s="81">
        <f t="shared" si="145"/>
        <v>1</v>
      </c>
      <c r="F226" s="81">
        <f t="shared" si="145"/>
        <v>1</v>
      </c>
      <c r="G226" s="81">
        <f t="shared" si="145"/>
        <v>1</v>
      </c>
      <c r="H226" s="81">
        <f t="shared" si="145"/>
        <v>1</v>
      </c>
      <c r="I226" s="81">
        <f t="shared" si="145"/>
        <v>1</v>
      </c>
      <c r="J226" s="81">
        <f t="shared" si="145"/>
        <v>1</v>
      </c>
      <c r="K226" s="81">
        <f t="shared" si="145"/>
        <v>1</v>
      </c>
      <c r="L226" s="81">
        <f t="shared" si="145"/>
        <v>1</v>
      </c>
      <c r="M226" s="81">
        <f t="shared" si="145"/>
        <v>1</v>
      </c>
      <c r="N226" s="81">
        <f t="shared" si="145"/>
        <v>1</v>
      </c>
      <c r="O226" s="81">
        <f t="shared" si="145"/>
        <v>1</v>
      </c>
      <c r="P226" s="81">
        <f t="shared" si="145"/>
        <v>1</v>
      </c>
      <c r="Q226" s="81">
        <f t="shared" si="145"/>
        <v>1</v>
      </c>
      <c r="R226" s="14">
        <f t="shared" si="140"/>
        <v>0</v>
      </c>
      <c r="S226" s="14">
        <f>IF(H220=0,0,R226/$R$236)</f>
        <v>0</v>
      </c>
      <c r="T226" s="14">
        <f t="shared" si="141"/>
        <v>0</v>
      </c>
    </row>
    <row r="227" spans="1:20" x14ac:dyDescent="0.35">
      <c r="A227" s="44">
        <f>'Data Kriteria'!K12</f>
        <v>1</v>
      </c>
      <c r="B227" s="30">
        <f>'Data Kriteria'!B12</f>
        <v>0</v>
      </c>
      <c r="C227" s="81">
        <f>IF(OR(C219=1,$A$227=1),1,$A$227/C219)</f>
        <v>1</v>
      </c>
      <c r="D227" s="81">
        <f t="shared" ref="D227:Q227" si="146">IF(OR(D219=1,$A$227=1),1,$A$227/D219)</f>
        <v>1</v>
      </c>
      <c r="E227" s="81">
        <f t="shared" si="146"/>
        <v>1</v>
      </c>
      <c r="F227" s="81">
        <f t="shared" si="146"/>
        <v>1</v>
      </c>
      <c r="G227" s="81">
        <f t="shared" si="146"/>
        <v>1</v>
      </c>
      <c r="H227" s="81">
        <f t="shared" si="146"/>
        <v>1</v>
      </c>
      <c r="I227" s="81">
        <f t="shared" si="146"/>
        <v>1</v>
      </c>
      <c r="J227" s="81">
        <f t="shared" si="146"/>
        <v>1</v>
      </c>
      <c r="K227" s="81">
        <f t="shared" si="146"/>
        <v>1</v>
      </c>
      <c r="L227" s="81">
        <f t="shared" si="146"/>
        <v>1</v>
      </c>
      <c r="M227" s="81">
        <f t="shared" si="146"/>
        <v>1</v>
      </c>
      <c r="N227" s="81">
        <f t="shared" si="146"/>
        <v>1</v>
      </c>
      <c r="O227" s="81">
        <f t="shared" si="146"/>
        <v>1</v>
      </c>
      <c r="P227" s="81">
        <f t="shared" si="146"/>
        <v>1</v>
      </c>
      <c r="Q227" s="81">
        <f t="shared" si="146"/>
        <v>1</v>
      </c>
      <c r="R227" s="14">
        <f t="shared" si="140"/>
        <v>0</v>
      </c>
      <c r="S227" s="14">
        <f>IF(I220=0,0,R227/$R$236)</f>
        <v>0</v>
      </c>
      <c r="T227" s="14">
        <f t="shared" si="141"/>
        <v>0</v>
      </c>
    </row>
    <row r="228" spans="1:20" x14ac:dyDescent="0.35">
      <c r="A228" s="44">
        <f>'Data Kriteria'!K13</f>
        <v>1</v>
      </c>
      <c r="B228" s="30">
        <f>'Data Kriteria'!B13</f>
        <v>0</v>
      </c>
      <c r="C228" s="81">
        <f>IF(OR(C219=1,$A$228=1),1,$A$228/C219)</f>
        <v>1</v>
      </c>
      <c r="D228" s="81">
        <f t="shared" ref="D228:Q228" si="147">IF(OR(D219=1,$A$228=1),1,$A$228/D219)</f>
        <v>1</v>
      </c>
      <c r="E228" s="81">
        <f t="shared" si="147"/>
        <v>1</v>
      </c>
      <c r="F228" s="81">
        <f t="shared" si="147"/>
        <v>1</v>
      </c>
      <c r="G228" s="81">
        <f t="shared" si="147"/>
        <v>1</v>
      </c>
      <c r="H228" s="81">
        <f t="shared" si="147"/>
        <v>1</v>
      </c>
      <c r="I228" s="81">
        <f t="shared" si="147"/>
        <v>1</v>
      </c>
      <c r="J228" s="81">
        <f t="shared" si="147"/>
        <v>1</v>
      </c>
      <c r="K228" s="81">
        <f t="shared" si="147"/>
        <v>1</v>
      </c>
      <c r="L228" s="81">
        <f t="shared" si="147"/>
        <v>1</v>
      </c>
      <c r="M228" s="81">
        <f t="shared" si="147"/>
        <v>1</v>
      </c>
      <c r="N228" s="81">
        <f t="shared" si="147"/>
        <v>1</v>
      </c>
      <c r="O228" s="81">
        <f t="shared" si="147"/>
        <v>1</v>
      </c>
      <c r="P228" s="81">
        <f t="shared" si="147"/>
        <v>1</v>
      </c>
      <c r="Q228" s="81">
        <f t="shared" si="147"/>
        <v>1</v>
      </c>
      <c r="R228" s="14">
        <f t="shared" si="140"/>
        <v>0</v>
      </c>
      <c r="S228" s="14">
        <f>IF(J220=0,0,R228/$R$236)</f>
        <v>0</v>
      </c>
      <c r="T228" s="14">
        <f t="shared" si="141"/>
        <v>0</v>
      </c>
    </row>
    <row r="229" spans="1:20" x14ac:dyDescent="0.35">
      <c r="A229" s="44">
        <f>'Data Kriteria'!K14</f>
        <v>1</v>
      </c>
      <c r="B229" s="30">
        <f>'Data Kriteria'!B14</f>
        <v>0</v>
      </c>
      <c r="C229" s="81">
        <f t="shared" ref="C229:Q229" si="148">IF(OR(C219=1,$A$229=1),1,$A$229/C219)</f>
        <v>1</v>
      </c>
      <c r="D229" s="81">
        <f t="shared" si="148"/>
        <v>1</v>
      </c>
      <c r="E229" s="81">
        <f t="shared" si="148"/>
        <v>1</v>
      </c>
      <c r="F229" s="81">
        <f t="shared" si="148"/>
        <v>1</v>
      </c>
      <c r="G229" s="81">
        <f t="shared" si="148"/>
        <v>1</v>
      </c>
      <c r="H229" s="81">
        <f t="shared" si="148"/>
        <v>1</v>
      </c>
      <c r="I229" s="81">
        <f t="shared" si="148"/>
        <v>1</v>
      </c>
      <c r="J229" s="81">
        <f t="shared" si="148"/>
        <v>1</v>
      </c>
      <c r="K229" s="81">
        <f t="shared" si="148"/>
        <v>1</v>
      </c>
      <c r="L229" s="81">
        <f t="shared" si="148"/>
        <v>1</v>
      </c>
      <c r="M229" s="81">
        <f t="shared" si="148"/>
        <v>1</v>
      </c>
      <c r="N229" s="81">
        <f t="shared" si="148"/>
        <v>1</v>
      </c>
      <c r="O229" s="81">
        <f t="shared" si="148"/>
        <v>1</v>
      </c>
      <c r="P229" s="81">
        <f t="shared" si="148"/>
        <v>1</v>
      </c>
      <c r="Q229" s="81">
        <f t="shared" si="148"/>
        <v>1</v>
      </c>
      <c r="R229" s="14">
        <f t="shared" si="140"/>
        <v>0</v>
      </c>
      <c r="S229" s="14">
        <f>IF(K220=0,0,R229/$R$236)</f>
        <v>0</v>
      </c>
      <c r="T229" s="14">
        <f t="shared" si="141"/>
        <v>0</v>
      </c>
    </row>
    <row r="230" spans="1:20" x14ac:dyDescent="0.35">
      <c r="A230" s="44">
        <f>'Data Kriteria'!K15</f>
        <v>1</v>
      </c>
      <c r="B230" s="30">
        <f>'Data Kriteria'!B15</f>
        <v>0</v>
      </c>
      <c r="C230" s="81">
        <f>IF(OR(C219=1,$A$230=1),1,$A$230/C219)</f>
        <v>1</v>
      </c>
      <c r="D230" s="81">
        <f t="shared" ref="D230:Q230" si="149">IF(OR(D219=1,$A$230=1),1,$A$230/D219)</f>
        <v>1</v>
      </c>
      <c r="E230" s="81">
        <f t="shared" si="149"/>
        <v>1</v>
      </c>
      <c r="F230" s="81">
        <f t="shared" si="149"/>
        <v>1</v>
      </c>
      <c r="G230" s="81">
        <f t="shared" si="149"/>
        <v>1</v>
      </c>
      <c r="H230" s="81">
        <f t="shared" si="149"/>
        <v>1</v>
      </c>
      <c r="I230" s="81">
        <f t="shared" si="149"/>
        <v>1</v>
      </c>
      <c r="J230" s="81">
        <f t="shared" si="149"/>
        <v>1</v>
      </c>
      <c r="K230" s="81">
        <f t="shared" si="149"/>
        <v>1</v>
      </c>
      <c r="L230" s="81">
        <f t="shared" si="149"/>
        <v>1</v>
      </c>
      <c r="M230" s="81">
        <f t="shared" si="149"/>
        <v>1</v>
      </c>
      <c r="N230" s="81">
        <f t="shared" si="149"/>
        <v>1</v>
      </c>
      <c r="O230" s="81">
        <f t="shared" si="149"/>
        <v>1</v>
      </c>
      <c r="P230" s="81">
        <f t="shared" si="149"/>
        <v>1</v>
      </c>
      <c r="Q230" s="81">
        <f t="shared" si="149"/>
        <v>1</v>
      </c>
      <c r="R230" s="14">
        <f t="shared" si="140"/>
        <v>0</v>
      </c>
      <c r="S230" s="14">
        <f>IF(L220=0,0,R230/$R$236)</f>
        <v>0</v>
      </c>
      <c r="T230" s="14">
        <f t="shared" si="141"/>
        <v>0</v>
      </c>
    </row>
    <row r="231" spans="1:20" x14ac:dyDescent="0.35">
      <c r="A231" s="44">
        <f>'Data Kriteria'!K16</f>
        <v>1</v>
      </c>
      <c r="B231" s="30">
        <f>'Data Kriteria'!B16</f>
        <v>0</v>
      </c>
      <c r="C231" s="81">
        <f>IF(OR(C219=1,$A$231=1),1,$A$231/C219)</f>
        <v>1</v>
      </c>
      <c r="D231" s="81">
        <f t="shared" ref="D231:Q231" si="150">IF(OR(D219=1,$A$231=1),1,$A$231/D219)</f>
        <v>1</v>
      </c>
      <c r="E231" s="81">
        <f t="shared" si="150"/>
        <v>1</v>
      </c>
      <c r="F231" s="81">
        <f t="shared" si="150"/>
        <v>1</v>
      </c>
      <c r="G231" s="81">
        <f t="shared" si="150"/>
        <v>1</v>
      </c>
      <c r="H231" s="81">
        <f t="shared" si="150"/>
        <v>1</v>
      </c>
      <c r="I231" s="81">
        <f t="shared" si="150"/>
        <v>1</v>
      </c>
      <c r="J231" s="81">
        <f t="shared" si="150"/>
        <v>1</v>
      </c>
      <c r="K231" s="81">
        <f t="shared" si="150"/>
        <v>1</v>
      </c>
      <c r="L231" s="81">
        <f t="shared" si="150"/>
        <v>1</v>
      </c>
      <c r="M231" s="81">
        <f t="shared" si="150"/>
        <v>1</v>
      </c>
      <c r="N231" s="81">
        <f t="shared" si="150"/>
        <v>1</v>
      </c>
      <c r="O231" s="81">
        <f t="shared" si="150"/>
        <v>1</v>
      </c>
      <c r="P231" s="81">
        <f t="shared" si="150"/>
        <v>1</v>
      </c>
      <c r="Q231" s="81">
        <f t="shared" si="150"/>
        <v>1</v>
      </c>
      <c r="R231" s="14">
        <f t="shared" si="140"/>
        <v>0</v>
      </c>
      <c r="S231" s="14">
        <f>IF(M220=0,0,R231/$R$236)</f>
        <v>0</v>
      </c>
      <c r="T231" s="14">
        <f t="shared" si="141"/>
        <v>0</v>
      </c>
    </row>
    <row r="232" spans="1:20" x14ac:dyDescent="0.35">
      <c r="A232" s="44">
        <f>'Data Kriteria'!K17</f>
        <v>1</v>
      </c>
      <c r="B232" s="30">
        <f>'Data Kriteria'!B17</f>
        <v>0</v>
      </c>
      <c r="C232" s="81">
        <f>IF(OR(C219=1,$A$232=1),1,$A$232/C219)</f>
        <v>1</v>
      </c>
      <c r="D232" s="81">
        <f t="shared" ref="D232:Q232" si="151">IF(OR(D219=1,$A$232=1),1,$A$232/D219)</f>
        <v>1</v>
      </c>
      <c r="E232" s="81">
        <f t="shared" si="151"/>
        <v>1</v>
      </c>
      <c r="F232" s="81">
        <f t="shared" si="151"/>
        <v>1</v>
      </c>
      <c r="G232" s="81">
        <f t="shared" si="151"/>
        <v>1</v>
      </c>
      <c r="H232" s="81">
        <f t="shared" si="151"/>
        <v>1</v>
      </c>
      <c r="I232" s="81">
        <f t="shared" si="151"/>
        <v>1</v>
      </c>
      <c r="J232" s="81">
        <f t="shared" si="151"/>
        <v>1</v>
      </c>
      <c r="K232" s="81">
        <f t="shared" si="151"/>
        <v>1</v>
      </c>
      <c r="L232" s="81">
        <f t="shared" si="151"/>
        <v>1</v>
      </c>
      <c r="M232" s="81">
        <f t="shared" si="151"/>
        <v>1</v>
      </c>
      <c r="N232" s="81">
        <f t="shared" si="151"/>
        <v>1</v>
      </c>
      <c r="O232" s="81">
        <f t="shared" si="151"/>
        <v>1</v>
      </c>
      <c r="P232" s="81">
        <f t="shared" si="151"/>
        <v>1</v>
      </c>
      <c r="Q232" s="81">
        <f t="shared" si="151"/>
        <v>1</v>
      </c>
      <c r="R232" s="14">
        <f t="shared" si="140"/>
        <v>0</v>
      </c>
      <c r="S232" s="14">
        <f>IF(N220=0,0,R232/$R$236)</f>
        <v>0</v>
      </c>
      <c r="T232" s="14">
        <f t="shared" si="141"/>
        <v>0</v>
      </c>
    </row>
    <row r="233" spans="1:20" x14ac:dyDescent="0.35">
      <c r="A233" s="44">
        <f>'Data Kriteria'!K18</f>
        <v>1</v>
      </c>
      <c r="B233" s="30">
        <f>'Data Kriteria'!B18</f>
        <v>0</v>
      </c>
      <c r="C233" s="81">
        <f>IF(OR(C219=1,$A$233=1),1,$A$233/C219)</f>
        <v>1</v>
      </c>
      <c r="D233" s="81">
        <f t="shared" ref="D233:Q233" si="152">IF(OR(D219=1,$A$233=1),1,$A$233/D219)</f>
        <v>1</v>
      </c>
      <c r="E233" s="81">
        <f t="shared" si="152"/>
        <v>1</v>
      </c>
      <c r="F233" s="81">
        <f t="shared" si="152"/>
        <v>1</v>
      </c>
      <c r="G233" s="81">
        <f t="shared" si="152"/>
        <v>1</v>
      </c>
      <c r="H233" s="81">
        <f t="shared" si="152"/>
        <v>1</v>
      </c>
      <c r="I233" s="81">
        <f t="shared" si="152"/>
        <v>1</v>
      </c>
      <c r="J233" s="81">
        <f t="shared" si="152"/>
        <v>1</v>
      </c>
      <c r="K233" s="81">
        <f t="shared" si="152"/>
        <v>1</v>
      </c>
      <c r="L233" s="81">
        <f t="shared" si="152"/>
        <v>1</v>
      </c>
      <c r="M233" s="81">
        <f t="shared" si="152"/>
        <v>1</v>
      </c>
      <c r="N233" s="81">
        <f t="shared" si="152"/>
        <v>1</v>
      </c>
      <c r="O233" s="81">
        <f t="shared" si="152"/>
        <v>1</v>
      </c>
      <c r="P233" s="81">
        <f t="shared" si="152"/>
        <v>1</v>
      </c>
      <c r="Q233" s="81">
        <f t="shared" si="152"/>
        <v>1</v>
      </c>
      <c r="R233" s="14">
        <f t="shared" si="140"/>
        <v>0</v>
      </c>
      <c r="S233" s="14">
        <f>IF(O220=0,0,R233/$R$236)</f>
        <v>0</v>
      </c>
      <c r="T233" s="14">
        <f t="shared" si="141"/>
        <v>0</v>
      </c>
    </row>
    <row r="234" spans="1:20" x14ac:dyDescent="0.35">
      <c r="A234" s="44">
        <f>'Data Kriteria'!K19</f>
        <v>1</v>
      </c>
      <c r="B234" s="30">
        <f>'Data Kriteria'!B19</f>
        <v>0</v>
      </c>
      <c r="C234" s="81">
        <f>IF(OR(C219=1,$A$234=1),1,$A$234/C219)</f>
        <v>1</v>
      </c>
      <c r="D234" s="81">
        <f t="shared" ref="D234:Q234" si="153">IF(OR(D219=1,$A$234=1),1,$A$234/D219)</f>
        <v>1</v>
      </c>
      <c r="E234" s="81">
        <f t="shared" si="153"/>
        <v>1</v>
      </c>
      <c r="F234" s="81">
        <f t="shared" si="153"/>
        <v>1</v>
      </c>
      <c r="G234" s="81">
        <f t="shared" si="153"/>
        <v>1</v>
      </c>
      <c r="H234" s="81">
        <f t="shared" si="153"/>
        <v>1</v>
      </c>
      <c r="I234" s="81">
        <f t="shared" si="153"/>
        <v>1</v>
      </c>
      <c r="J234" s="81">
        <f t="shared" si="153"/>
        <v>1</v>
      </c>
      <c r="K234" s="81">
        <f t="shared" si="153"/>
        <v>1</v>
      </c>
      <c r="L234" s="81">
        <f t="shared" si="153"/>
        <v>1</v>
      </c>
      <c r="M234" s="81">
        <f t="shared" si="153"/>
        <v>1</v>
      </c>
      <c r="N234" s="81">
        <f t="shared" si="153"/>
        <v>1</v>
      </c>
      <c r="O234" s="81">
        <f t="shared" si="153"/>
        <v>1</v>
      </c>
      <c r="P234" s="81">
        <f t="shared" si="153"/>
        <v>1</v>
      </c>
      <c r="Q234" s="81">
        <f t="shared" si="153"/>
        <v>1</v>
      </c>
      <c r="R234" s="14">
        <f t="shared" si="140"/>
        <v>0</v>
      </c>
      <c r="S234" s="14">
        <f>IF(P220=0,0,R234/$R$236)</f>
        <v>0</v>
      </c>
      <c r="T234" s="14">
        <f t="shared" si="141"/>
        <v>0</v>
      </c>
    </row>
    <row r="235" spans="1:20" x14ac:dyDescent="0.35">
      <c r="A235" s="44">
        <f>'Data Kriteria'!K20</f>
        <v>1</v>
      </c>
      <c r="B235" s="30">
        <f>'Data Kriteria'!B20</f>
        <v>0</v>
      </c>
      <c r="C235" s="81">
        <f t="shared" ref="C235:Q235" si="154">IF(OR(C219=1,$A$235=1),1,$A$235/C219)</f>
        <v>1</v>
      </c>
      <c r="D235" s="81">
        <f t="shared" si="154"/>
        <v>1</v>
      </c>
      <c r="E235" s="81">
        <f t="shared" si="154"/>
        <v>1</v>
      </c>
      <c r="F235" s="81">
        <f t="shared" si="154"/>
        <v>1</v>
      </c>
      <c r="G235" s="81">
        <f t="shared" si="154"/>
        <v>1</v>
      </c>
      <c r="H235" s="81">
        <f t="shared" si="154"/>
        <v>1</v>
      </c>
      <c r="I235" s="81">
        <f t="shared" si="154"/>
        <v>1</v>
      </c>
      <c r="J235" s="81">
        <f t="shared" si="154"/>
        <v>1</v>
      </c>
      <c r="K235" s="81">
        <f t="shared" si="154"/>
        <v>1</v>
      </c>
      <c r="L235" s="81">
        <f t="shared" si="154"/>
        <v>1</v>
      </c>
      <c r="M235" s="81">
        <f t="shared" si="154"/>
        <v>1</v>
      </c>
      <c r="N235" s="81">
        <f t="shared" si="154"/>
        <v>1</v>
      </c>
      <c r="O235" s="81">
        <f t="shared" si="154"/>
        <v>1</v>
      </c>
      <c r="P235" s="81">
        <f t="shared" si="154"/>
        <v>1</v>
      </c>
      <c r="Q235" s="81">
        <f t="shared" si="154"/>
        <v>1</v>
      </c>
      <c r="R235" s="14">
        <f t="shared" si="140"/>
        <v>0</v>
      </c>
      <c r="S235" s="14">
        <f>IF(Q220=0,0,R235/$R$236)</f>
        <v>0</v>
      </c>
      <c r="T235" s="14">
        <f t="shared" si="141"/>
        <v>0</v>
      </c>
    </row>
    <row r="236" spans="1:20" x14ac:dyDescent="0.35">
      <c r="R236" s="14">
        <f>SUM(R221:R235)</f>
        <v>0</v>
      </c>
      <c r="S236" s="14">
        <f>SUM(S221:S235)</f>
        <v>0</v>
      </c>
      <c r="T236" s="15">
        <f>MAX(T221:T235)</f>
        <v>0</v>
      </c>
    </row>
    <row r="238" spans="1:20" ht="15" thickBot="1" x14ac:dyDescent="0.4">
      <c r="S238" s="5" t="s">
        <v>49</v>
      </c>
      <c r="T238" s="16">
        <f>T236</f>
        <v>0</v>
      </c>
    </row>
    <row r="239" spans="1:20" ht="15" thickBot="1" x14ac:dyDescent="0.4">
      <c r="B239" s="4" t="s">
        <v>38</v>
      </c>
      <c r="C239" s="4"/>
      <c r="D239" s="4"/>
      <c r="E239" s="51">
        <f>E212</f>
        <v>0</v>
      </c>
      <c r="S239" s="6" t="s">
        <v>39</v>
      </c>
      <c r="T239" s="3">
        <f>(T238-15)/(15-1)</f>
        <v>-1.0714285714285714</v>
      </c>
    </row>
    <row r="240" spans="1:20" x14ac:dyDescent="0.35">
      <c r="S240" s="6" t="s">
        <v>40</v>
      </c>
      <c r="T240" s="57" t="b">
        <f>IF(E239=E241,E242,IF(E239=F241,F242,IF(E239=G241,G242,IF(E239=H241,H242,IF(E239=I241,I242,IF(E239=J241,J242,IF(E239=K241,K242,IF(E239=L241,L242,IF(E239=M241,M242,IF(E239=N241,N242,IF(E239=O241,O242,IF(E239=P241,P242,IF(E239=Q241,Q242)))))))))))))</f>
        <v>0</v>
      </c>
    </row>
    <row r="241" spans="1:20" x14ac:dyDescent="0.35">
      <c r="B241" s="2" t="s">
        <v>41</v>
      </c>
      <c r="C241" s="2">
        <v>1</v>
      </c>
      <c r="D241" s="2">
        <v>2</v>
      </c>
      <c r="E241" s="2">
        <v>3</v>
      </c>
      <c r="F241" s="2">
        <v>4</v>
      </c>
      <c r="G241" s="2">
        <v>5</v>
      </c>
      <c r="H241" s="2">
        <v>6</v>
      </c>
      <c r="I241" s="2">
        <v>7</v>
      </c>
      <c r="J241" s="2">
        <v>8</v>
      </c>
      <c r="K241" s="2">
        <v>9</v>
      </c>
      <c r="L241" s="2">
        <v>10</v>
      </c>
      <c r="M241" s="2">
        <v>11</v>
      </c>
      <c r="N241" s="2">
        <v>12</v>
      </c>
      <c r="O241" s="2">
        <v>13</v>
      </c>
      <c r="P241" s="2">
        <v>14</v>
      </c>
      <c r="Q241" s="2">
        <v>15</v>
      </c>
      <c r="S241" s="6" t="s">
        <v>42</v>
      </c>
      <c r="T241" s="16" t="e">
        <f>T239/T240</f>
        <v>#DIV/0!</v>
      </c>
    </row>
    <row r="242" spans="1:20" x14ac:dyDescent="0.35">
      <c r="B242" s="2" t="s">
        <v>40</v>
      </c>
      <c r="C242" s="87">
        <v>0</v>
      </c>
      <c r="D242" s="87">
        <v>0</v>
      </c>
      <c r="E242" s="87">
        <v>0.57999999999999996</v>
      </c>
      <c r="F242" s="87">
        <v>0.9</v>
      </c>
      <c r="G242" s="87">
        <v>1.1200000000000001</v>
      </c>
      <c r="H242" s="87">
        <v>1.24</v>
      </c>
      <c r="I242" s="87">
        <v>1.32</v>
      </c>
      <c r="J242" s="87">
        <v>1.41</v>
      </c>
      <c r="K242" s="87">
        <v>1.45</v>
      </c>
      <c r="L242" s="87">
        <v>1.49</v>
      </c>
      <c r="M242" s="87">
        <v>1.51</v>
      </c>
      <c r="N242" s="87">
        <v>1.54</v>
      </c>
      <c r="O242" s="87">
        <v>1.56</v>
      </c>
      <c r="P242" s="87">
        <v>1.57</v>
      </c>
      <c r="Q242" s="87">
        <v>1.58</v>
      </c>
    </row>
    <row r="243" spans="1:20" x14ac:dyDescent="0.35">
      <c r="S243" s="6" t="s">
        <v>43</v>
      </c>
      <c r="T243" s="1" t="s">
        <v>44</v>
      </c>
    </row>
    <row r="244" spans="1:20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x14ac:dyDescent="0.35">
      <c r="A245" s="46" t="s">
        <v>46</v>
      </c>
      <c r="B245" s="88">
        <f>'Data Kriteria'!L5</f>
        <v>0</v>
      </c>
    </row>
    <row r="246" spans="1:20" x14ac:dyDescent="0.35">
      <c r="C246" s="44" cm="1">
        <f t="array" ref="C246:Q246">TRANSPOSE(A248:A262)</f>
        <v>1</v>
      </c>
      <c r="D246" s="44">
        <v>1</v>
      </c>
      <c r="E246" s="44">
        <v>1</v>
      </c>
      <c r="F246" s="44">
        <v>1</v>
      </c>
      <c r="G246" s="44">
        <v>1</v>
      </c>
      <c r="H246" s="44">
        <v>1</v>
      </c>
      <c r="I246" s="44">
        <v>1</v>
      </c>
      <c r="J246" s="44">
        <v>1</v>
      </c>
      <c r="K246" s="44">
        <v>1</v>
      </c>
      <c r="L246" s="44">
        <v>1</v>
      </c>
      <c r="M246" s="44">
        <v>1</v>
      </c>
      <c r="N246" s="44">
        <v>1</v>
      </c>
      <c r="O246" s="44">
        <v>1</v>
      </c>
      <c r="P246" s="44">
        <v>1</v>
      </c>
      <c r="Q246" s="44">
        <v>1</v>
      </c>
    </row>
    <row r="247" spans="1:20" x14ac:dyDescent="0.35">
      <c r="B247" s="83">
        <v>10</v>
      </c>
      <c r="C247" s="30" cm="1">
        <f t="array" ref="C247:Q247">TRANSPOSE(B248:B262)</f>
        <v>0</v>
      </c>
      <c r="D247" s="30">
        <v>0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86" t="s">
        <v>47</v>
      </c>
      <c r="S247" s="45" t="s">
        <v>35</v>
      </c>
      <c r="T247" s="45" t="s">
        <v>48</v>
      </c>
    </row>
    <row r="248" spans="1:20" x14ac:dyDescent="0.35">
      <c r="A248" s="44">
        <f>'Data Kriteria'!L6</f>
        <v>1</v>
      </c>
      <c r="B248" s="30">
        <f>'Data Kriteria'!B6</f>
        <v>0</v>
      </c>
      <c r="C248" s="81">
        <f>IF(OR(C246=1,$A$248=1),1,$A$248/C246)</f>
        <v>1</v>
      </c>
      <c r="D248" s="81">
        <f t="shared" ref="D248:Q248" si="155">IF(OR(D246=1,$A$248=1),1,$A$248/D246)</f>
        <v>1</v>
      </c>
      <c r="E248" s="81">
        <f t="shared" si="155"/>
        <v>1</v>
      </c>
      <c r="F248" s="81">
        <f t="shared" si="155"/>
        <v>1</v>
      </c>
      <c r="G248" s="81">
        <f t="shared" si="155"/>
        <v>1</v>
      </c>
      <c r="H248" s="81">
        <f t="shared" si="155"/>
        <v>1</v>
      </c>
      <c r="I248" s="81">
        <f t="shared" si="155"/>
        <v>1</v>
      </c>
      <c r="J248" s="81">
        <f t="shared" si="155"/>
        <v>1</v>
      </c>
      <c r="K248" s="81">
        <f t="shared" si="155"/>
        <v>1</v>
      </c>
      <c r="L248" s="81">
        <f t="shared" si="155"/>
        <v>1</v>
      </c>
      <c r="M248" s="81">
        <f t="shared" si="155"/>
        <v>1</v>
      </c>
      <c r="N248" s="81">
        <f t="shared" si="155"/>
        <v>1</v>
      </c>
      <c r="O248" s="81">
        <f t="shared" si="155"/>
        <v>1</v>
      </c>
      <c r="P248" s="81">
        <f t="shared" si="155"/>
        <v>1</v>
      </c>
      <c r="Q248" s="81">
        <f t="shared" si="155"/>
        <v>1</v>
      </c>
      <c r="R248" s="14">
        <f>IF(A248=1,0,(C248*D248*E248*F248*G248*H248*I248*J248*K248*L248*M248*N248*O248*P248*Q248)^(1/$E$266))</f>
        <v>0</v>
      </c>
      <c r="S248" s="14">
        <f>IF(C247=0,0,R248/$R$263)</f>
        <v>0</v>
      </c>
      <c r="T248" s="14">
        <f>IF(A248=1,0,(C248*$S$113+D248*$S$114+E248*$S$115+F248*$S$116+G248*$S$117+H248*$S$118+I248*$S$119+J248*$S$120+K248*$S$121+L248*$S$122+M248*$S$123+N248*$S$124+O248*$S$125+P248*$S$126+Q248*$S$127)/S248)</f>
        <v>0</v>
      </c>
    </row>
    <row r="249" spans="1:20" x14ac:dyDescent="0.35">
      <c r="A249" s="44">
        <f>'Data Kriteria'!L7</f>
        <v>1</v>
      </c>
      <c r="B249" s="30">
        <f>'Data Kriteria'!B7</f>
        <v>0</v>
      </c>
      <c r="C249" s="81">
        <f>IF(OR(C246=1,$A$249=1),1,$A$249/C246)</f>
        <v>1</v>
      </c>
      <c r="D249" s="81">
        <f t="shared" ref="D249:Q249" si="156">IF(OR(D246=1,$A$249=1),1,$A$249/D246)</f>
        <v>1</v>
      </c>
      <c r="E249" s="81">
        <f t="shared" si="156"/>
        <v>1</v>
      </c>
      <c r="F249" s="81">
        <f t="shared" si="156"/>
        <v>1</v>
      </c>
      <c r="G249" s="81">
        <f t="shared" si="156"/>
        <v>1</v>
      </c>
      <c r="H249" s="81">
        <f t="shared" si="156"/>
        <v>1</v>
      </c>
      <c r="I249" s="81">
        <f t="shared" si="156"/>
        <v>1</v>
      </c>
      <c r="J249" s="81">
        <f t="shared" si="156"/>
        <v>1</v>
      </c>
      <c r="K249" s="81">
        <f t="shared" si="156"/>
        <v>1</v>
      </c>
      <c r="L249" s="81">
        <f t="shared" si="156"/>
        <v>1</v>
      </c>
      <c r="M249" s="81">
        <f t="shared" si="156"/>
        <v>1</v>
      </c>
      <c r="N249" s="81">
        <f t="shared" si="156"/>
        <v>1</v>
      </c>
      <c r="O249" s="81">
        <f t="shared" si="156"/>
        <v>1</v>
      </c>
      <c r="P249" s="81">
        <f t="shared" si="156"/>
        <v>1</v>
      </c>
      <c r="Q249" s="81">
        <f t="shared" si="156"/>
        <v>1</v>
      </c>
      <c r="R249" s="14">
        <f t="shared" ref="R249:R262" si="157">IF(A249=1,0,(C249*D249*E249*F249*G249*H249*I249*J249*K249*L249*M249*N249*O249*P249*Q249)^(1/$E$266))</f>
        <v>0</v>
      </c>
      <c r="S249" s="14">
        <f>IF(D247=0,0,R249/$R$263)</f>
        <v>0</v>
      </c>
      <c r="T249" s="14">
        <f t="shared" ref="T249:T262" si="158">IF(A249=1,0,(C249*$S$113+D249*$S$114+E249*$S$115+F249*$S$116+G249*$S$117+H249*$S$118+I249*$S$119+J249*$S$120+K249*$S$121+L249*$S$122+M249*$S$123+N249*$S$124+O249*$S$125+P249*$S$126+Q249*$S$127)/S249)</f>
        <v>0</v>
      </c>
    </row>
    <row r="250" spans="1:20" x14ac:dyDescent="0.35">
      <c r="A250" s="44">
        <f>'Data Kriteria'!L8</f>
        <v>1</v>
      </c>
      <c r="B250" s="30">
        <f>'Data Kriteria'!B8</f>
        <v>0</v>
      </c>
      <c r="C250" s="81">
        <f>IF(OR(C246=1,$A$250=1),1,$A$250/C246)</f>
        <v>1</v>
      </c>
      <c r="D250" s="81">
        <f t="shared" ref="D250:Q250" si="159">IF(OR(D246=1,$A$250=1),1,$A$250/D246)</f>
        <v>1</v>
      </c>
      <c r="E250" s="81">
        <f t="shared" si="159"/>
        <v>1</v>
      </c>
      <c r="F250" s="81">
        <f t="shared" si="159"/>
        <v>1</v>
      </c>
      <c r="G250" s="81">
        <f t="shared" si="159"/>
        <v>1</v>
      </c>
      <c r="H250" s="81">
        <f t="shared" si="159"/>
        <v>1</v>
      </c>
      <c r="I250" s="81">
        <f t="shared" si="159"/>
        <v>1</v>
      </c>
      <c r="J250" s="81">
        <f t="shared" si="159"/>
        <v>1</v>
      </c>
      <c r="K250" s="81">
        <f t="shared" si="159"/>
        <v>1</v>
      </c>
      <c r="L250" s="81">
        <f t="shared" si="159"/>
        <v>1</v>
      </c>
      <c r="M250" s="81">
        <f t="shared" si="159"/>
        <v>1</v>
      </c>
      <c r="N250" s="81">
        <f t="shared" si="159"/>
        <v>1</v>
      </c>
      <c r="O250" s="81">
        <f t="shared" si="159"/>
        <v>1</v>
      </c>
      <c r="P250" s="81">
        <f t="shared" si="159"/>
        <v>1</v>
      </c>
      <c r="Q250" s="81">
        <f t="shared" si="159"/>
        <v>1</v>
      </c>
      <c r="R250" s="14">
        <f t="shared" si="157"/>
        <v>0</v>
      </c>
      <c r="S250" s="14">
        <f>IF(E247=0,0,R250/$R$263)</f>
        <v>0</v>
      </c>
      <c r="T250" s="14">
        <f t="shared" si="158"/>
        <v>0</v>
      </c>
    </row>
    <row r="251" spans="1:20" x14ac:dyDescent="0.35">
      <c r="A251" s="44">
        <f>'Data Kriteria'!L9</f>
        <v>1</v>
      </c>
      <c r="B251" s="30">
        <f>'Data Kriteria'!B9</f>
        <v>0</v>
      </c>
      <c r="C251" s="81">
        <f>IF(OR(C246=1,$A$251=1),1,$A$251/C246)</f>
        <v>1</v>
      </c>
      <c r="D251" s="81">
        <f t="shared" ref="D251:Q251" si="160">IF(OR(D246=1,$A$251=1),1,$A$251/D246)</f>
        <v>1</v>
      </c>
      <c r="E251" s="81">
        <f t="shared" si="160"/>
        <v>1</v>
      </c>
      <c r="F251" s="81">
        <f t="shared" si="160"/>
        <v>1</v>
      </c>
      <c r="G251" s="81">
        <f t="shared" si="160"/>
        <v>1</v>
      </c>
      <c r="H251" s="81">
        <f t="shared" si="160"/>
        <v>1</v>
      </c>
      <c r="I251" s="81">
        <f t="shared" si="160"/>
        <v>1</v>
      </c>
      <c r="J251" s="81">
        <f t="shared" si="160"/>
        <v>1</v>
      </c>
      <c r="K251" s="81">
        <f t="shared" si="160"/>
        <v>1</v>
      </c>
      <c r="L251" s="81">
        <f t="shared" si="160"/>
        <v>1</v>
      </c>
      <c r="M251" s="81">
        <f t="shared" si="160"/>
        <v>1</v>
      </c>
      <c r="N251" s="81">
        <f t="shared" si="160"/>
        <v>1</v>
      </c>
      <c r="O251" s="81">
        <f t="shared" si="160"/>
        <v>1</v>
      </c>
      <c r="P251" s="81">
        <f t="shared" si="160"/>
        <v>1</v>
      </c>
      <c r="Q251" s="81">
        <f t="shared" si="160"/>
        <v>1</v>
      </c>
      <c r="R251" s="14">
        <f t="shared" si="157"/>
        <v>0</v>
      </c>
      <c r="S251" s="14">
        <f>IF(F247=0,0,R251/$R$263)</f>
        <v>0</v>
      </c>
      <c r="T251" s="14">
        <f t="shared" si="158"/>
        <v>0</v>
      </c>
    </row>
    <row r="252" spans="1:20" x14ac:dyDescent="0.35">
      <c r="A252" s="44">
        <f>'Data Kriteria'!L10</f>
        <v>1</v>
      </c>
      <c r="B252" s="30">
        <f>'Data Kriteria'!B10</f>
        <v>0</v>
      </c>
      <c r="C252" s="81">
        <f>IF(OR(C246=1,$A$252=1),1,$A$252/C246)</f>
        <v>1</v>
      </c>
      <c r="D252" s="81">
        <f t="shared" ref="D252:Q252" si="161">IF(OR(D246=1,$A$252=1),1,$A$252/D246)</f>
        <v>1</v>
      </c>
      <c r="E252" s="81">
        <f t="shared" si="161"/>
        <v>1</v>
      </c>
      <c r="F252" s="81">
        <f t="shared" si="161"/>
        <v>1</v>
      </c>
      <c r="G252" s="81">
        <f t="shared" si="161"/>
        <v>1</v>
      </c>
      <c r="H252" s="81">
        <f t="shared" si="161"/>
        <v>1</v>
      </c>
      <c r="I252" s="81">
        <f t="shared" si="161"/>
        <v>1</v>
      </c>
      <c r="J252" s="81">
        <f t="shared" si="161"/>
        <v>1</v>
      </c>
      <c r="K252" s="81">
        <f t="shared" si="161"/>
        <v>1</v>
      </c>
      <c r="L252" s="81">
        <f t="shared" si="161"/>
        <v>1</v>
      </c>
      <c r="M252" s="81">
        <f t="shared" si="161"/>
        <v>1</v>
      </c>
      <c r="N252" s="81">
        <f t="shared" si="161"/>
        <v>1</v>
      </c>
      <c r="O252" s="81">
        <f t="shared" si="161"/>
        <v>1</v>
      </c>
      <c r="P252" s="81">
        <f t="shared" si="161"/>
        <v>1</v>
      </c>
      <c r="Q252" s="81">
        <f t="shared" si="161"/>
        <v>1</v>
      </c>
      <c r="R252" s="14">
        <f t="shared" si="157"/>
        <v>0</v>
      </c>
      <c r="S252" s="14">
        <f>IF(G247=0,0,R252/$R$263)</f>
        <v>0</v>
      </c>
      <c r="T252" s="14">
        <f t="shared" si="158"/>
        <v>0</v>
      </c>
    </row>
    <row r="253" spans="1:20" x14ac:dyDescent="0.35">
      <c r="A253" s="44">
        <f>'Data Kriteria'!L11</f>
        <v>1</v>
      </c>
      <c r="B253" s="30">
        <f>'Data Kriteria'!B11</f>
        <v>0</v>
      </c>
      <c r="C253" s="81">
        <f>IF(OR(C246=1,$A$253=1),1,$A$253/C246)</f>
        <v>1</v>
      </c>
      <c r="D253" s="81">
        <f t="shared" ref="D253:Q253" si="162">IF(OR(D246=1,$A$253=1),1,$A$253/D246)</f>
        <v>1</v>
      </c>
      <c r="E253" s="81">
        <f t="shared" si="162"/>
        <v>1</v>
      </c>
      <c r="F253" s="81">
        <f t="shared" si="162"/>
        <v>1</v>
      </c>
      <c r="G253" s="81">
        <f t="shared" si="162"/>
        <v>1</v>
      </c>
      <c r="H253" s="81">
        <f t="shared" si="162"/>
        <v>1</v>
      </c>
      <c r="I253" s="81">
        <f t="shared" si="162"/>
        <v>1</v>
      </c>
      <c r="J253" s="81">
        <f t="shared" si="162"/>
        <v>1</v>
      </c>
      <c r="K253" s="81">
        <f t="shared" si="162"/>
        <v>1</v>
      </c>
      <c r="L253" s="81">
        <f t="shared" si="162"/>
        <v>1</v>
      </c>
      <c r="M253" s="81">
        <f t="shared" si="162"/>
        <v>1</v>
      </c>
      <c r="N253" s="81">
        <f t="shared" si="162"/>
        <v>1</v>
      </c>
      <c r="O253" s="81">
        <f t="shared" si="162"/>
        <v>1</v>
      </c>
      <c r="P253" s="81">
        <f t="shared" si="162"/>
        <v>1</v>
      </c>
      <c r="Q253" s="81">
        <f t="shared" si="162"/>
        <v>1</v>
      </c>
      <c r="R253" s="14">
        <f t="shared" si="157"/>
        <v>0</v>
      </c>
      <c r="S253" s="14">
        <f>IF(H247=0,0,R253/$R$263)</f>
        <v>0</v>
      </c>
      <c r="T253" s="14">
        <f t="shared" si="158"/>
        <v>0</v>
      </c>
    </row>
    <row r="254" spans="1:20" x14ac:dyDescent="0.35">
      <c r="A254" s="44">
        <f>'Data Kriteria'!L12</f>
        <v>1</v>
      </c>
      <c r="B254" s="30">
        <f>'Data Kriteria'!B12</f>
        <v>0</v>
      </c>
      <c r="C254" s="81">
        <f>IF(OR(C246=1,$A$254=1),1,$A$254/C246)</f>
        <v>1</v>
      </c>
      <c r="D254" s="81">
        <f t="shared" ref="D254:Q254" si="163">IF(OR(D246=1,$A$254=1),1,$A$254/D246)</f>
        <v>1</v>
      </c>
      <c r="E254" s="81">
        <f t="shared" si="163"/>
        <v>1</v>
      </c>
      <c r="F254" s="81">
        <f t="shared" si="163"/>
        <v>1</v>
      </c>
      <c r="G254" s="81">
        <f t="shared" si="163"/>
        <v>1</v>
      </c>
      <c r="H254" s="81">
        <f t="shared" si="163"/>
        <v>1</v>
      </c>
      <c r="I254" s="81">
        <f t="shared" si="163"/>
        <v>1</v>
      </c>
      <c r="J254" s="81">
        <f t="shared" si="163"/>
        <v>1</v>
      </c>
      <c r="K254" s="81">
        <f t="shared" si="163"/>
        <v>1</v>
      </c>
      <c r="L254" s="81">
        <f t="shared" si="163"/>
        <v>1</v>
      </c>
      <c r="M254" s="81">
        <f t="shared" si="163"/>
        <v>1</v>
      </c>
      <c r="N254" s="81">
        <f t="shared" si="163"/>
        <v>1</v>
      </c>
      <c r="O254" s="81">
        <f t="shared" si="163"/>
        <v>1</v>
      </c>
      <c r="P254" s="81">
        <f t="shared" si="163"/>
        <v>1</v>
      </c>
      <c r="Q254" s="81">
        <f t="shared" si="163"/>
        <v>1</v>
      </c>
      <c r="R254" s="14">
        <f t="shared" si="157"/>
        <v>0</v>
      </c>
      <c r="S254" s="14">
        <f>IF(I247=0,0,R254/$R$263)</f>
        <v>0</v>
      </c>
      <c r="T254" s="14">
        <f t="shared" si="158"/>
        <v>0</v>
      </c>
    </row>
    <row r="255" spans="1:20" x14ac:dyDescent="0.35">
      <c r="A255" s="44">
        <f>'Data Kriteria'!L13</f>
        <v>1</v>
      </c>
      <c r="B255" s="30">
        <f>'Data Kriteria'!B13</f>
        <v>0</v>
      </c>
      <c r="C255" s="81">
        <f>IF(OR(C246=1,$A$255=1),1,$A$255/C246)</f>
        <v>1</v>
      </c>
      <c r="D255" s="81">
        <f t="shared" ref="D255:Q255" si="164">IF(OR(D246=1,$A$255=1),1,$A$255/D246)</f>
        <v>1</v>
      </c>
      <c r="E255" s="81">
        <f t="shared" si="164"/>
        <v>1</v>
      </c>
      <c r="F255" s="81">
        <f t="shared" si="164"/>
        <v>1</v>
      </c>
      <c r="G255" s="81">
        <f t="shared" si="164"/>
        <v>1</v>
      </c>
      <c r="H255" s="81">
        <f t="shared" si="164"/>
        <v>1</v>
      </c>
      <c r="I255" s="81">
        <f t="shared" si="164"/>
        <v>1</v>
      </c>
      <c r="J255" s="81">
        <f t="shared" si="164"/>
        <v>1</v>
      </c>
      <c r="K255" s="81">
        <f t="shared" si="164"/>
        <v>1</v>
      </c>
      <c r="L255" s="81">
        <f t="shared" si="164"/>
        <v>1</v>
      </c>
      <c r="M255" s="81">
        <f t="shared" si="164"/>
        <v>1</v>
      </c>
      <c r="N255" s="81">
        <f t="shared" si="164"/>
        <v>1</v>
      </c>
      <c r="O255" s="81">
        <f t="shared" si="164"/>
        <v>1</v>
      </c>
      <c r="P255" s="81">
        <f t="shared" si="164"/>
        <v>1</v>
      </c>
      <c r="Q255" s="81">
        <f t="shared" si="164"/>
        <v>1</v>
      </c>
      <c r="R255" s="14">
        <f t="shared" si="157"/>
        <v>0</v>
      </c>
      <c r="S255" s="14">
        <f>IF(J247=0,0,R255/$R$263)</f>
        <v>0</v>
      </c>
      <c r="T255" s="14">
        <f t="shared" si="158"/>
        <v>0</v>
      </c>
    </row>
    <row r="256" spans="1:20" x14ac:dyDescent="0.35">
      <c r="A256" s="44">
        <f>'Data Kriteria'!L14</f>
        <v>1</v>
      </c>
      <c r="B256" s="30">
        <f>'Data Kriteria'!B14</f>
        <v>0</v>
      </c>
      <c r="C256" s="81">
        <f t="shared" ref="C256:Q256" si="165">IF(OR(C246=1,$A$256=1),1,$A$256/C246)</f>
        <v>1</v>
      </c>
      <c r="D256" s="81">
        <f t="shared" si="165"/>
        <v>1</v>
      </c>
      <c r="E256" s="81">
        <f t="shared" si="165"/>
        <v>1</v>
      </c>
      <c r="F256" s="81">
        <f t="shared" si="165"/>
        <v>1</v>
      </c>
      <c r="G256" s="81">
        <f t="shared" si="165"/>
        <v>1</v>
      </c>
      <c r="H256" s="81">
        <f t="shared" si="165"/>
        <v>1</v>
      </c>
      <c r="I256" s="81">
        <f t="shared" si="165"/>
        <v>1</v>
      </c>
      <c r="J256" s="81">
        <f t="shared" si="165"/>
        <v>1</v>
      </c>
      <c r="K256" s="81">
        <f t="shared" si="165"/>
        <v>1</v>
      </c>
      <c r="L256" s="81">
        <f t="shared" si="165"/>
        <v>1</v>
      </c>
      <c r="M256" s="81">
        <f t="shared" si="165"/>
        <v>1</v>
      </c>
      <c r="N256" s="81">
        <f t="shared" si="165"/>
        <v>1</v>
      </c>
      <c r="O256" s="81">
        <f t="shared" si="165"/>
        <v>1</v>
      </c>
      <c r="P256" s="81">
        <f t="shared" si="165"/>
        <v>1</v>
      </c>
      <c r="Q256" s="81">
        <f t="shared" si="165"/>
        <v>1</v>
      </c>
      <c r="R256" s="14">
        <f t="shared" si="157"/>
        <v>0</v>
      </c>
      <c r="S256" s="14">
        <f>IF(K247=0,0,R256/$R$263)</f>
        <v>0</v>
      </c>
      <c r="T256" s="14">
        <f t="shared" si="158"/>
        <v>0</v>
      </c>
    </row>
    <row r="257" spans="1:20" x14ac:dyDescent="0.35">
      <c r="A257" s="44">
        <f>'Data Kriteria'!L15</f>
        <v>1</v>
      </c>
      <c r="B257" s="30">
        <f>'Data Kriteria'!B15</f>
        <v>0</v>
      </c>
      <c r="C257" s="81">
        <f>IF(OR(C246=1,$A$257=1),1,$A$257/C246)</f>
        <v>1</v>
      </c>
      <c r="D257" s="81">
        <f t="shared" ref="D257:Q257" si="166">IF(OR(D246=1,$A$257=1),1,$A$257/D246)</f>
        <v>1</v>
      </c>
      <c r="E257" s="81">
        <f t="shared" si="166"/>
        <v>1</v>
      </c>
      <c r="F257" s="81">
        <f t="shared" si="166"/>
        <v>1</v>
      </c>
      <c r="G257" s="81">
        <f t="shared" si="166"/>
        <v>1</v>
      </c>
      <c r="H257" s="81">
        <f t="shared" si="166"/>
        <v>1</v>
      </c>
      <c r="I257" s="81">
        <f t="shared" si="166"/>
        <v>1</v>
      </c>
      <c r="J257" s="81">
        <f t="shared" si="166"/>
        <v>1</v>
      </c>
      <c r="K257" s="81">
        <f t="shared" si="166"/>
        <v>1</v>
      </c>
      <c r="L257" s="81">
        <f t="shared" si="166"/>
        <v>1</v>
      </c>
      <c r="M257" s="81">
        <f t="shared" si="166"/>
        <v>1</v>
      </c>
      <c r="N257" s="81">
        <f t="shared" si="166"/>
        <v>1</v>
      </c>
      <c r="O257" s="81">
        <f t="shared" si="166"/>
        <v>1</v>
      </c>
      <c r="P257" s="81">
        <f t="shared" si="166"/>
        <v>1</v>
      </c>
      <c r="Q257" s="81">
        <f t="shared" si="166"/>
        <v>1</v>
      </c>
      <c r="R257" s="14">
        <f t="shared" si="157"/>
        <v>0</v>
      </c>
      <c r="S257" s="14">
        <f>IF(L247=0,0,R257/$R$263)</f>
        <v>0</v>
      </c>
      <c r="T257" s="14">
        <f t="shared" si="158"/>
        <v>0</v>
      </c>
    </row>
    <row r="258" spans="1:20" x14ac:dyDescent="0.35">
      <c r="A258" s="44">
        <f>'Data Kriteria'!L16</f>
        <v>1</v>
      </c>
      <c r="B258" s="30">
        <f>'Data Kriteria'!B16</f>
        <v>0</v>
      </c>
      <c r="C258" s="81">
        <f>IF(OR(C246=1,$A$258=1),1,$A$258/C246)</f>
        <v>1</v>
      </c>
      <c r="D258" s="81">
        <f t="shared" ref="D258:Q258" si="167">IF(OR(D246=1,$A$258=1),1,$A$258/D246)</f>
        <v>1</v>
      </c>
      <c r="E258" s="81">
        <f t="shared" si="167"/>
        <v>1</v>
      </c>
      <c r="F258" s="81">
        <f t="shared" si="167"/>
        <v>1</v>
      </c>
      <c r="G258" s="81">
        <f t="shared" si="167"/>
        <v>1</v>
      </c>
      <c r="H258" s="81">
        <f t="shared" si="167"/>
        <v>1</v>
      </c>
      <c r="I258" s="81">
        <f t="shared" si="167"/>
        <v>1</v>
      </c>
      <c r="J258" s="81">
        <f t="shared" si="167"/>
        <v>1</v>
      </c>
      <c r="K258" s="81">
        <f t="shared" si="167"/>
        <v>1</v>
      </c>
      <c r="L258" s="81">
        <f t="shared" si="167"/>
        <v>1</v>
      </c>
      <c r="M258" s="81">
        <f t="shared" si="167"/>
        <v>1</v>
      </c>
      <c r="N258" s="81">
        <f t="shared" si="167"/>
        <v>1</v>
      </c>
      <c r="O258" s="81">
        <f t="shared" si="167"/>
        <v>1</v>
      </c>
      <c r="P258" s="81">
        <f t="shared" si="167"/>
        <v>1</v>
      </c>
      <c r="Q258" s="81">
        <f t="shared" si="167"/>
        <v>1</v>
      </c>
      <c r="R258" s="14">
        <f t="shared" si="157"/>
        <v>0</v>
      </c>
      <c r="S258" s="14">
        <f>IF(M247=0,0,R258/$R$263)</f>
        <v>0</v>
      </c>
      <c r="T258" s="14">
        <f t="shared" si="158"/>
        <v>0</v>
      </c>
    </row>
    <row r="259" spans="1:20" x14ac:dyDescent="0.35">
      <c r="A259" s="44">
        <f>'Data Kriteria'!L17</f>
        <v>1</v>
      </c>
      <c r="B259" s="30">
        <f>'Data Kriteria'!B17</f>
        <v>0</v>
      </c>
      <c r="C259" s="81">
        <f>IF(OR(C246=1,$A$259=1),1,$A$259/C246)</f>
        <v>1</v>
      </c>
      <c r="D259" s="81">
        <f t="shared" ref="D259:Q259" si="168">IF(OR(D246=1,$A$259=1),1,$A$259/D246)</f>
        <v>1</v>
      </c>
      <c r="E259" s="81">
        <f t="shared" si="168"/>
        <v>1</v>
      </c>
      <c r="F259" s="81">
        <f t="shared" si="168"/>
        <v>1</v>
      </c>
      <c r="G259" s="81">
        <f t="shared" si="168"/>
        <v>1</v>
      </c>
      <c r="H259" s="81">
        <f t="shared" si="168"/>
        <v>1</v>
      </c>
      <c r="I259" s="81">
        <f t="shared" si="168"/>
        <v>1</v>
      </c>
      <c r="J259" s="81">
        <f t="shared" si="168"/>
        <v>1</v>
      </c>
      <c r="K259" s="81">
        <f t="shared" si="168"/>
        <v>1</v>
      </c>
      <c r="L259" s="81">
        <f t="shared" si="168"/>
        <v>1</v>
      </c>
      <c r="M259" s="81">
        <f t="shared" si="168"/>
        <v>1</v>
      </c>
      <c r="N259" s="81">
        <f t="shared" si="168"/>
        <v>1</v>
      </c>
      <c r="O259" s="81">
        <f t="shared" si="168"/>
        <v>1</v>
      </c>
      <c r="P259" s="81">
        <f t="shared" si="168"/>
        <v>1</v>
      </c>
      <c r="Q259" s="81">
        <f t="shared" si="168"/>
        <v>1</v>
      </c>
      <c r="R259" s="14">
        <f t="shared" si="157"/>
        <v>0</v>
      </c>
      <c r="S259" s="14">
        <f>IF(N247=0,0,R259/$R$263)</f>
        <v>0</v>
      </c>
      <c r="T259" s="14">
        <f t="shared" si="158"/>
        <v>0</v>
      </c>
    </row>
    <row r="260" spans="1:20" x14ac:dyDescent="0.35">
      <c r="A260" s="44">
        <f>'Data Kriteria'!L18</f>
        <v>1</v>
      </c>
      <c r="B260" s="30">
        <f>'Data Kriteria'!B18</f>
        <v>0</v>
      </c>
      <c r="C260" s="81">
        <f>IF(OR(C246=1,$A$260=1),1,$A$260/C246)</f>
        <v>1</v>
      </c>
      <c r="D260" s="81">
        <f t="shared" ref="D260:Q260" si="169">IF(OR(D246=1,$A$260=1),1,$A$260/D246)</f>
        <v>1</v>
      </c>
      <c r="E260" s="81">
        <f t="shared" si="169"/>
        <v>1</v>
      </c>
      <c r="F260" s="81">
        <f t="shared" si="169"/>
        <v>1</v>
      </c>
      <c r="G260" s="81">
        <f t="shared" si="169"/>
        <v>1</v>
      </c>
      <c r="H260" s="81">
        <f t="shared" si="169"/>
        <v>1</v>
      </c>
      <c r="I260" s="81">
        <f t="shared" si="169"/>
        <v>1</v>
      </c>
      <c r="J260" s="81">
        <f t="shared" si="169"/>
        <v>1</v>
      </c>
      <c r="K260" s="81">
        <f t="shared" si="169"/>
        <v>1</v>
      </c>
      <c r="L260" s="81">
        <f t="shared" si="169"/>
        <v>1</v>
      </c>
      <c r="M260" s="81">
        <f t="shared" si="169"/>
        <v>1</v>
      </c>
      <c r="N260" s="81">
        <f t="shared" si="169"/>
        <v>1</v>
      </c>
      <c r="O260" s="81">
        <f t="shared" si="169"/>
        <v>1</v>
      </c>
      <c r="P260" s="81">
        <f t="shared" si="169"/>
        <v>1</v>
      </c>
      <c r="Q260" s="81">
        <f t="shared" si="169"/>
        <v>1</v>
      </c>
      <c r="R260" s="14">
        <f t="shared" si="157"/>
        <v>0</v>
      </c>
      <c r="S260" s="14">
        <f>IF(O247=0,0,R260/$R$263)</f>
        <v>0</v>
      </c>
      <c r="T260" s="14">
        <f t="shared" si="158"/>
        <v>0</v>
      </c>
    </row>
    <row r="261" spans="1:20" x14ac:dyDescent="0.35">
      <c r="A261" s="44">
        <f>'Data Kriteria'!L19</f>
        <v>1</v>
      </c>
      <c r="B261" s="30">
        <f>'Data Kriteria'!B19</f>
        <v>0</v>
      </c>
      <c r="C261" s="81">
        <f>IF(OR(C246=1,$A$261=1),1,$A$261/C246)</f>
        <v>1</v>
      </c>
      <c r="D261" s="81">
        <f t="shared" ref="D261:Q261" si="170">IF(OR(D246=1,$A$261=1),1,$A$261/D246)</f>
        <v>1</v>
      </c>
      <c r="E261" s="81">
        <f t="shared" si="170"/>
        <v>1</v>
      </c>
      <c r="F261" s="81">
        <f t="shared" si="170"/>
        <v>1</v>
      </c>
      <c r="G261" s="81">
        <f t="shared" si="170"/>
        <v>1</v>
      </c>
      <c r="H261" s="81">
        <f t="shared" si="170"/>
        <v>1</v>
      </c>
      <c r="I261" s="81">
        <f t="shared" si="170"/>
        <v>1</v>
      </c>
      <c r="J261" s="81">
        <f t="shared" si="170"/>
        <v>1</v>
      </c>
      <c r="K261" s="81">
        <f t="shared" si="170"/>
        <v>1</v>
      </c>
      <c r="L261" s="81">
        <f t="shared" si="170"/>
        <v>1</v>
      </c>
      <c r="M261" s="81">
        <f t="shared" si="170"/>
        <v>1</v>
      </c>
      <c r="N261" s="81">
        <f t="shared" si="170"/>
        <v>1</v>
      </c>
      <c r="O261" s="81">
        <f t="shared" si="170"/>
        <v>1</v>
      </c>
      <c r="P261" s="81">
        <f t="shared" si="170"/>
        <v>1</v>
      </c>
      <c r="Q261" s="81">
        <f t="shared" si="170"/>
        <v>1</v>
      </c>
      <c r="R261" s="14">
        <f t="shared" si="157"/>
        <v>0</v>
      </c>
      <c r="S261" s="14">
        <f>IF(P247=0,0,R261/$R$263)</f>
        <v>0</v>
      </c>
      <c r="T261" s="14">
        <f t="shared" si="158"/>
        <v>0</v>
      </c>
    </row>
    <row r="262" spans="1:20" x14ac:dyDescent="0.35">
      <c r="A262" s="44">
        <f>'Data Kriteria'!L20</f>
        <v>1</v>
      </c>
      <c r="B262" s="30">
        <f>'Data Kriteria'!B20</f>
        <v>0</v>
      </c>
      <c r="C262" s="81">
        <f>IF(OR(C246=1,$A$262=1),1,$A$262/C246)</f>
        <v>1</v>
      </c>
      <c r="D262" s="81">
        <f t="shared" ref="D262:Q262" si="171">IF(OR(D246=1,$A$262=1),1,$A$262/D246)</f>
        <v>1</v>
      </c>
      <c r="E262" s="81">
        <f t="shared" si="171"/>
        <v>1</v>
      </c>
      <c r="F262" s="81">
        <f t="shared" si="171"/>
        <v>1</v>
      </c>
      <c r="G262" s="81">
        <f t="shared" si="171"/>
        <v>1</v>
      </c>
      <c r="H262" s="81">
        <f t="shared" si="171"/>
        <v>1</v>
      </c>
      <c r="I262" s="81">
        <f t="shared" si="171"/>
        <v>1</v>
      </c>
      <c r="J262" s="81">
        <f t="shared" si="171"/>
        <v>1</v>
      </c>
      <c r="K262" s="81">
        <f t="shared" si="171"/>
        <v>1</v>
      </c>
      <c r="L262" s="81">
        <f t="shared" si="171"/>
        <v>1</v>
      </c>
      <c r="M262" s="81">
        <f t="shared" si="171"/>
        <v>1</v>
      </c>
      <c r="N262" s="81">
        <f t="shared" si="171"/>
        <v>1</v>
      </c>
      <c r="O262" s="81">
        <f t="shared" si="171"/>
        <v>1</v>
      </c>
      <c r="P262" s="81">
        <f t="shared" si="171"/>
        <v>1</v>
      </c>
      <c r="Q262" s="81">
        <f t="shared" si="171"/>
        <v>1</v>
      </c>
      <c r="R262" s="14">
        <f t="shared" si="157"/>
        <v>0</v>
      </c>
      <c r="S262" s="14">
        <f>IF(Q247=0,0,R262/$R$263)</f>
        <v>0</v>
      </c>
      <c r="T262" s="14">
        <f t="shared" si="158"/>
        <v>0</v>
      </c>
    </row>
    <row r="263" spans="1:20" x14ac:dyDescent="0.35">
      <c r="R263" s="14">
        <f>SUM(R248:R262)</f>
        <v>0</v>
      </c>
      <c r="S263" s="14">
        <f>SUM(S248:S262)</f>
        <v>0</v>
      </c>
      <c r="T263" s="15">
        <f>MAX(T248:T262)</f>
        <v>0</v>
      </c>
    </row>
    <row r="265" spans="1:20" ht="15" thickBot="1" x14ac:dyDescent="0.4">
      <c r="S265" s="5" t="s">
        <v>49</v>
      </c>
      <c r="T265" s="16">
        <f>T263</f>
        <v>0</v>
      </c>
    </row>
    <row r="266" spans="1:20" ht="15" thickBot="1" x14ac:dyDescent="0.4">
      <c r="B266" s="4" t="s">
        <v>38</v>
      </c>
      <c r="C266" s="4"/>
      <c r="D266" s="4"/>
      <c r="E266" s="51">
        <f>E239</f>
        <v>0</v>
      </c>
      <c r="S266" s="6" t="s">
        <v>39</v>
      </c>
      <c r="T266" s="3">
        <f>(T265-15)/(15-1)</f>
        <v>-1.0714285714285714</v>
      </c>
    </row>
    <row r="267" spans="1:20" x14ac:dyDescent="0.35">
      <c r="S267" s="6" t="s">
        <v>40</v>
      </c>
      <c r="T267" s="57" t="b">
        <f>IF(E266=E268,E269,IF(E266=F268,F269,IF(E266=G268,G269,IF(E266=H268,H269,IF(E266=I268,I269,IF(E266=J268,J269,IF(E266=K268,K269,IF(E266=L268,L269,IF(E266=M268,M269,IF(E266=N268,N269,IF(E266=O268,O269,IF(E266=P268,P269,IF(E266=Q268,Q269)))))))))))))</f>
        <v>0</v>
      </c>
    </row>
    <row r="268" spans="1:20" x14ac:dyDescent="0.35">
      <c r="B268" s="2" t="s">
        <v>41</v>
      </c>
      <c r="C268" s="2">
        <v>1</v>
      </c>
      <c r="D268" s="2">
        <v>2</v>
      </c>
      <c r="E268" s="2">
        <v>3</v>
      </c>
      <c r="F268" s="2">
        <v>4</v>
      </c>
      <c r="G268" s="2">
        <v>5</v>
      </c>
      <c r="H268" s="2">
        <v>6</v>
      </c>
      <c r="I268" s="2">
        <v>7</v>
      </c>
      <c r="J268" s="2">
        <v>8</v>
      </c>
      <c r="K268" s="2">
        <v>9</v>
      </c>
      <c r="L268" s="2">
        <v>10</v>
      </c>
      <c r="M268" s="2">
        <v>11</v>
      </c>
      <c r="N268" s="2">
        <v>12</v>
      </c>
      <c r="O268" s="2">
        <v>13</v>
      </c>
      <c r="P268" s="2">
        <v>14</v>
      </c>
      <c r="Q268" s="2">
        <v>15</v>
      </c>
      <c r="S268" s="6" t="s">
        <v>42</v>
      </c>
      <c r="T268" s="16" t="e">
        <f>T266/T267</f>
        <v>#DIV/0!</v>
      </c>
    </row>
    <row r="269" spans="1:20" x14ac:dyDescent="0.35">
      <c r="B269" s="2" t="s">
        <v>40</v>
      </c>
      <c r="C269" s="87">
        <v>0</v>
      </c>
      <c r="D269" s="87">
        <v>0</v>
      </c>
      <c r="E269" s="87">
        <v>0.57999999999999996</v>
      </c>
      <c r="F269" s="87">
        <v>0.9</v>
      </c>
      <c r="G269" s="87">
        <v>1.1200000000000001</v>
      </c>
      <c r="H269" s="87">
        <v>1.24</v>
      </c>
      <c r="I269" s="87">
        <v>1.32</v>
      </c>
      <c r="J269" s="87">
        <v>1.41</v>
      </c>
      <c r="K269" s="87">
        <v>1.45</v>
      </c>
      <c r="L269" s="87">
        <v>1.49</v>
      </c>
      <c r="M269" s="87">
        <v>1.51</v>
      </c>
      <c r="N269" s="87">
        <v>1.54</v>
      </c>
      <c r="O269" s="87">
        <v>1.56</v>
      </c>
      <c r="P269" s="87">
        <v>1.57</v>
      </c>
      <c r="Q269" s="87">
        <v>1.58</v>
      </c>
    </row>
    <row r="270" spans="1:20" x14ac:dyDescent="0.35">
      <c r="S270" s="6" t="s">
        <v>43</v>
      </c>
      <c r="T270" s="1" t="s">
        <v>44</v>
      </c>
    </row>
    <row r="271" spans="1:20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x14ac:dyDescent="0.35">
      <c r="A272" s="46" t="s">
        <v>46</v>
      </c>
      <c r="B272" s="88">
        <f>'Data Kriteria'!M5</f>
        <v>0</v>
      </c>
    </row>
    <row r="273" spans="1:20" x14ac:dyDescent="0.35">
      <c r="C273" s="44" cm="1">
        <f t="array" ref="C273:Q273">TRANSPOSE(A275:A289)</f>
        <v>1</v>
      </c>
      <c r="D273" s="44">
        <v>1</v>
      </c>
      <c r="E273" s="44">
        <v>1</v>
      </c>
      <c r="F273" s="44">
        <v>1</v>
      </c>
      <c r="G273" s="44">
        <v>1</v>
      </c>
      <c r="H273" s="44">
        <v>1</v>
      </c>
      <c r="I273" s="44">
        <v>1</v>
      </c>
      <c r="J273" s="44">
        <v>1</v>
      </c>
      <c r="K273" s="44">
        <v>1</v>
      </c>
      <c r="L273" s="44">
        <v>1</v>
      </c>
      <c r="M273" s="44">
        <v>1</v>
      </c>
      <c r="N273" s="44">
        <v>1</v>
      </c>
      <c r="O273" s="44">
        <v>1</v>
      </c>
      <c r="P273" s="44">
        <v>1</v>
      </c>
      <c r="Q273" s="44">
        <v>1</v>
      </c>
    </row>
    <row r="274" spans="1:20" x14ac:dyDescent="0.35">
      <c r="B274" s="84">
        <v>11</v>
      </c>
      <c r="C274" s="30" cm="1">
        <f t="array" ref="C274:Q274">TRANSPOSE(B275:B289)</f>
        <v>0</v>
      </c>
      <c r="D274" s="30">
        <v>0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86" t="s">
        <v>47</v>
      </c>
      <c r="S274" s="45" t="s">
        <v>35</v>
      </c>
      <c r="T274" s="45" t="s">
        <v>48</v>
      </c>
    </row>
    <row r="275" spans="1:20" x14ac:dyDescent="0.35">
      <c r="A275" s="80">
        <f>'Data Kriteria'!M6</f>
        <v>1</v>
      </c>
      <c r="B275" s="30">
        <f>'Data Kriteria'!B6</f>
        <v>0</v>
      </c>
      <c r="C275" s="81">
        <f>IF(OR(C273=1,$A$275=1),1,$A$275/C273)</f>
        <v>1</v>
      </c>
      <c r="D275" s="81">
        <f t="shared" ref="D275:Q275" si="172">IF(OR(D273=1,$A$275=1),1,$A$275/D273)</f>
        <v>1</v>
      </c>
      <c r="E275" s="81">
        <f t="shared" si="172"/>
        <v>1</v>
      </c>
      <c r="F275" s="81">
        <f t="shared" si="172"/>
        <v>1</v>
      </c>
      <c r="G275" s="81">
        <f t="shared" si="172"/>
        <v>1</v>
      </c>
      <c r="H275" s="81">
        <f t="shared" si="172"/>
        <v>1</v>
      </c>
      <c r="I275" s="81">
        <f t="shared" si="172"/>
        <v>1</v>
      </c>
      <c r="J275" s="81">
        <f t="shared" si="172"/>
        <v>1</v>
      </c>
      <c r="K275" s="81">
        <f t="shared" si="172"/>
        <v>1</v>
      </c>
      <c r="L275" s="81">
        <f t="shared" si="172"/>
        <v>1</v>
      </c>
      <c r="M275" s="81">
        <f t="shared" si="172"/>
        <v>1</v>
      </c>
      <c r="N275" s="81">
        <f t="shared" si="172"/>
        <v>1</v>
      </c>
      <c r="O275" s="81">
        <f t="shared" si="172"/>
        <v>1</v>
      </c>
      <c r="P275" s="81">
        <f t="shared" si="172"/>
        <v>1</v>
      </c>
      <c r="Q275" s="81">
        <f t="shared" si="172"/>
        <v>1</v>
      </c>
      <c r="R275" s="14">
        <f>IF(A275=1,0,(C275*D275*E275*F275*G275*H275*I275*J275*K275*L275*M275*N275*O275*P275*Q275)^(1/$E$293))</f>
        <v>0</v>
      </c>
      <c r="S275" s="14">
        <f>IF(C274=0,0,R275/$R$290)</f>
        <v>0</v>
      </c>
      <c r="T275" s="14">
        <f>IF(A275=1,0,(C275*$S$113+D275*$S$114+E275*$S$115+F275*$S$116+G275*$S$117+H275*$S$118+I275*$S$119+J275*$S$120+K275*$S$121+L275*$S$122+M275*$S$123+N275*$S$124+O275*$S$125+P275*$S$126+Q275*$S$127)/S275)</f>
        <v>0</v>
      </c>
    </row>
    <row r="276" spans="1:20" x14ac:dyDescent="0.35">
      <c r="A276" s="80">
        <f>'Data Kriteria'!M7</f>
        <v>1</v>
      </c>
      <c r="B276" s="30">
        <f>'Data Kriteria'!B7</f>
        <v>0</v>
      </c>
      <c r="C276" s="81">
        <f>IF(OR(C273=1,$A$276=1),1,$A$276/C273)</f>
        <v>1</v>
      </c>
      <c r="D276" s="81">
        <f t="shared" ref="D276:Q276" si="173">IF(OR(D273=1,$A$276=1),1,$A$276/D273)</f>
        <v>1</v>
      </c>
      <c r="E276" s="81">
        <f t="shared" si="173"/>
        <v>1</v>
      </c>
      <c r="F276" s="81">
        <f t="shared" si="173"/>
        <v>1</v>
      </c>
      <c r="G276" s="81">
        <f t="shared" si="173"/>
        <v>1</v>
      </c>
      <c r="H276" s="81">
        <f t="shared" si="173"/>
        <v>1</v>
      </c>
      <c r="I276" s="81">
        <f t="shared" si="173"/>
        <v>1</v>
      </c>
      <c r="J276" s="81">
        <f t="shared" si="173"/>
        <v>1</v>
      </c>
      <c r="K276" s="81">
        <f t="shared" si="173"/>
        <v>1</v>
      </c>
      <c r="L276" s="81">
        <f t="shared" si="173"/>
        <v>1</v>
      </c>
      <c r="M276" s="81">
        <f t="shared" si="173"/>
        <v>1</v>
      </c>
      <c r="N276" s="81">
        <f t="shared" si="173"/>
        <v>1</v>
      </c>
      <c r="O276" s="81">
        <f t="shared" si="173"/>
        <v>1</v>
      </c>
      <c r="P276" s="81">
        <f t="shared" si="173"/>
        <v>1</v>
      </c>
      <c r="Q276" s="81">
        <f t="shared" si="173"/>
        <v>1</v>
      </c>
      <c r="R276" s="14">
        <f t="shared" ref="R276:R289" si="174">IF(A276=1,0,(C276*D276*E276*F276*G276*H276*I276*J276*K276*L276*M276*N276*O276*P276*Q276)^(1/$E$293))</f>
        <v>0</v>
      </c>
      <c r="S276" s="14">
        <f>IF(D274=0,0,R276/$R$290)</f>
        <v>0</v>
      </c>
      <c r="T276" s="14">
        <f t="shared" ref="T276:T289" si="175">IF(A276=1,0,(C276*$S$113+D276*$S$114+E276*$S$115+F276*$S$116+G276*$S$117+H276*$S$118+I276*$S$119+J276*$S$120+K276*$S$121+L276*$S$122+M276*$S$123+N276*$S$124+O276*$S$125+P276*$S$126+Q276*$S$127)/S276)</f>
        <v>0</v>
      </c>
    </row>
    <row r="277" spans="1:20" x14ac:dyDescent="0.35">
      <c r="A277" s="80">
        <f>'Data Kriteria'!M8</f>
        <v>1</v>
      </c>
      <c r="B277" s="30">
        <f>'Data Kriteria'!B8</f>
        <v>0</v>
      </c>
      <c r="C277" s="81">
        <f>IF(OR(C273=1,$A$277=1),1,$A$277/C273)</f>
        <v>1</v>
      </c>
      <c r="D277" s="81">
        <f t="shared" ref="D277:Q277" si="176">IF(OR(D273=1,$A$277=1),1,$A$277/D273)</f>
        <v>1</v>
      </c>
      <c r="E277" s="81">
        <f t="shared" si="176"/>
        <v>1</v>
      </c>
      <c r="F277" s="81">
        <f t="shared" si="176"/>
        <v>1</v>
      </c>
      <c r="G277" s="81">
        <f t="shared" si="176"/>
        <v>1</v>
      </c>
      <c r="H277" s="81">
        <f t="shared" si="176"/>
        <v>1</v>
      </c>
      <c r="I277" s="81">
        <f t="shared" si="176"/>
        <v>1</v>
      </c>
      <c r="J277" s="81">
        <f t="shared" si="176"/>
        <v>1</v>
      </c>
      <c r="K277" s="81">
        <f t="shared" si="176"/>
        <v>1</v>
      </c>
      <c r="L277" s="81">
        <f t="shared" si="176"/>
        <v>1</v>
      </c>
      <c r="M277" s="81">
        <f t="shared" si="176"/>
        <v>1</v>
      </c>
      <c r="N277" s="81">
        <f t="shared" si="176"/>
        <v>1</v>
      </c>
      <c r="O277" s="81">
        <f t="shared" si="176"/>
        <v>1</v>
      </c>
      <c r="P277" s="81">
        <f t="shared" si="176"/>
        <v>1</v>
      </c>
      <c r="Q277" s="81">
        <f t="shared" si="176"/>
        <v>1</v>
      </c>
      <c r="R277" s="14">
        <f t="shared" si="174"/>
        <v>0</v>
      </c>
      <c r="S277" s="14">
        <f>IF(E274=0,0,R277/$R$290)</f>
        <v>0</v>
      </c>
      <c r="T277" s="14">
        <f t="shared" si="175"/>
        <v>0</v>
      </c>
    </row>
    <row r="278" spans="1:20" x14ac:dyDescent="0.35">
      <c r="A278" s="80">
        <f>'Data Kriteria'!M9</f>
        <v>1</v>
      </c>
      <c r="B278" s="30">
        <f>'Data Kriteria'!B9</f>
        <v>0</v>
      </c>
      <c r="C278" s="81">
        <f>IF(OR(C273=1,$A$278=1),1,$A$278/C273)</f>
        <v>1</v>
      </c>
      <c r="D278" s="81">
        <f t="shared" ref="D278:Q278" si="177">IF(OR(D273=1,$A$278=1),1,$A$278/D273)</f>
        <v>1</v>
      </c>
      <c r="E278" s="81">
        <f t="shared" si="177"/>
        <v>1</v>
      </c>
      <c r="F278" s="81">
        <f t="shared" si="177"/>
        <v>1</v>
      </c>
      <c r="G278" s="81">
        <f t="shared" si="177"/>
        <v>1</v>
      </c>
      <c r="H278" s="81">
        <f t="shared" si="177"/>
        <v>1</v>
      </c>
      <c r="I278" s="81">
        <f t="shared" si="177"/>
        <v>1</v>
      </c>
      <c r="J278" s="81">
        <f t="shared" si="177"/>
        <v>1</v>
      </c>
      <c r="K278" s="81">
        <f t="shared" si="177"/>
        <v>1</v>
      </c>
      <c r="L278" s="81">
        <f t="shared" si="177"/>
        <v>1</v>
      </c>
      <c r="M278" s="81">
        <f t="shared" si="177"/>
        <v>1</v>
      </c>
      <c r="N278" s="81">
        <f t="shared" si="177"/>
        <v>1</v>
      </c>
      <c r="O278" s="81">
        <f t="shared" si="177"/>
        <v>1</v>
      </c>
      <c r="P278" s="81">
        <f t="shared" si="177"/>
        <v>1</v>
      </c>
      <c r="Q278" s="81">
        <f t="shared" si="177"/>
        <v>1</v>
      </c>
      <c r="R278" s="14">
        <f t="shared" si="174"/>
        <v>0</v>
      </c>
      <c r="S278" s="14">
        <f>IF(F274=0,0,R278/$R$290)</f>
        <v>0</v>
      </c>
      <c r="T278" s="14">
        <f t="shared" si="175"/>
        <v>0</v>
      </c>
    </row>
    <row r="279" spans="1:20" x14ac:dyDescent="0.35">
      <c r="A279" s="80">
        <f>'Data Kriteria'!M10</f>
        <v>1</v>
      </c>
      <c r="B279" s="30">
        <f>'Data Kriteria'!B10</f>
        <v>0</v>
      </c>
      <c r="C279" s="81">
        <f>IF(OR(C273=1,$A$279=1),1,$A$279/C273)</f>
        <v>1</v>
      </c>
      <c r="D279" s="81">
        <f t="shared" ref="D279:Q279" si="178">IF(OR(D273=1,$A$279=1),1,$A$279/D273)</f>
        <v>1</v>
      </c>
      <c r="E279" s="81">
        <f t="shared" si="178"/>
        <v>1</v>
      </c>
      <c r="F279" s="81">
        <f t="shared" si="178"/>
        <v>1</v>
      </c>
      <c r="G279" s="81">
        <f t="shared" si="178"/>
        <v>1</v>
      </c>
      <c r="H279" s="81">
        <f t="shared" si="178"/>
        <v>1</v>
      </c>
      <c r="I279" s="81">
        <f t="shared" si="178"/>
        <v>1</v>
      </c>
      <c r="J279" s="81">
        <f t="shared" si="178"/>
        <v>1</v>
      </c>
      <c r="K279" s="81">
        <f t="shared" si="178"/>
        <v>1</v>
      </c>
      <c r="L279" s="81">
        <f t="shared" si="178"/>
        <v>1</v>
      </c>
      <c r="M279" s="81">
        <f t="shared" si="178"/>
        <v>1</v>
      </c>
      <c r="N279" s="81">
        <f t="shared" si="178"/>
        <v>1</v>
      </c>
      <c r="O279" s="81">
        <f t="shared" si="178"/>
        <v>1</v>
      </c>
      <c r="P279" s="81">
        <f t="shared" si="178"/>
        <v>1</v>
      </c>
      <c r="Q279" s="81">
        <f t="shared" si="178"/>
        <v>1</v>
      </c>
      <c r="R279" s="14">
        <f t="shared" si="174"/>
        <v>0</v>
      </c>
      <c r="S279" s="14">
        <f>IF(G274=0,0,R279/$R$290)</f>
        <v>0</v>
      </c>
      <c r="T279" s="14">
        <f t="shared" si="175"/>
        <v>0</v>
      </c>
    </row>
    <row r="280" spans="1:20" x14ac:dyDescent="0.35">
      <c r="A280" s="80">
        <f>'Data Kriteria'!M11</f>
        <v>1</v>
      </c>
      <c r="B280" s="30">
        <f>'Data Kriteria'!B11</f>
        <v>0</v>
      </c>
      <c r="C280" s="81">
        <f>IF(OR(C273=1,$A$280=1),1,$A$280/C273)</f>
        <v>1</v>
      </c>
      <c r="D280" s="81">
        <f t="shared" ref="D280:Q280" si="179">IF(OR(D273=1,$A$280=1),1,$A$280/D273)</f>
        <v>1</v>
      </c>
      <c r="E280" s="81">
        <f t="shared" si="179"/>
        <v>1</v>
      </c>
      <c r="F280" s="81">
        <f t="shared" si="179"/>
        <v>1</v>
      </c>
      <c r="G280" s="81">
        <f t="shared" si="179"/>
        <v>1</v>
      </c>
      <c r="H280" s="81">
        <f t="shared" si="179"/>
        <v>1</v>
      </c>
      <c r="I280" s="81">
        <f t="shared" si="179"/>
        <v>1</v>
      </c>
      <c r="J280" s="81">
        <f t="shared" si="179"/>
        <v>1</v>
      </c>
      <c r="K280" s="81">
        <f t="shared" si="179"/>
        <v>1</v>
      </c>
      <c r="L280" s="81">
        <f t="shared" si="179"/>
        <v>1</v>
      </c>
      <c r="M280" s="81">
        <f t="shared" si="179"/>
        <v>1</v>
      </c>
      <c r="N280" s="81">
        <f t="shared" si="179"/>
        <v>1</v>
      </c>
      <c r="O280" s="81">
        <f t="shared" si="179"/>
        <v>1</v>
      </c>
      <c r="P280" s="81">
        <f t="shared" si="179"/>
        <v>1</v>
      </c>
      <c r="Q280" s="81">
        <f t="shared" si="179"/>
        <v>1</v>
      </c>
      <c r="R280" s="14">
        <f t="shared" si="174"/>
        <v>0</v>
      </c>
      <c r="S280" s="14">
        <f>IF(H274=0,0,R280/$R$290)</f>
        <v>0</v>
      </c>
      <c r="T280" s="14">
        <f t="shared" si="175"/>
        <v>0</v>
      </c>
    </row>
    <row r="281" spans="1:20" x14ac:dyDescent="0.35">
      <c r="A281" s="80">
        <f>'Data Kriteria'!M12</f>
        <v>1</v>
      </c>
      <c r="B281" s="30">
        <f>'Data Kriteria'!B12</f>
        <v>0</v>
      </c>
      <c r="C281" s="81">
        <f>IF(OR(C273=1,$A$281=1),1,$A$281/C273)</f>
        <v>1</v>
      </c>
      <c r="D281" s="81">
        <f t="shared" ref="D281:Q281" si="180">IF(OR(D273=1,$A$281=1),1,$A$281/D273)</f>
        <v>1</v>
      </c>
      <c r="E281" s="81">
        <f t="shared" si="180"/>
        <v>1</v>
      </c>
      <c r="F281" s="81">
        <f t="shared" si="180"/>
        <v>1</v>
      </c>
      <c r="G281" s="81">
        <f t="shared" si="180"/>
        <v>1</v>
      </c>
      <c r="H281" s="81">
        <f t="shared" si="180"/>
        <v>1</v>
      </c>
      <c r="I281" s="81">
        <f t="shared" si="180"/>
        <v>1</v>
      </c>
      <c r="J281" s="81">
        <f t="shared" si="180"/>
        <v>1</v>
      </c>
      <c r="K281" s="81">
        <f t="shared" si="180"/>
        <v>1</v>
      </c>
      <c r="L281" s="81">
        <f t="shared" si="180"/>
        <v>1</v>
      </c>
      <c r="M281" s="81">
        <f t="shared" si="180"/>
        <v>1</v>
      </c>
      <c r="N281" s="81">
        <f t="shared" si="180"/>
        <v>1</v>
      </c>
      <c r="O281" s="81">
        <f t="shared" si="180"/>
        <v>1</v>
      </c>
      <c r="P281" s="81">
        <f t="shared" si="180"/>
        <v>1</v>
      </c>
      <c r="Q281" s="81">
        <f t="shared" si="180"/>
        <v>1</v>
      </c>
      <c r="R281" s="14">
        <f t="shared" si="174"/>
        <v>0</v>
      </c>
      <c r="S281" s="14">
        <f>IF(I274=0,0,R281/$R$290)</f>
        <v>0</v>
      </c>
      <c r="T281" s="14">
        <f t="shared" si="175"/>
        <v>0</v>
      </c>
    </row>
    <row r="282" spans="1:20" x14ac:dyDescent="0.35">
      <c r="A282" s="80">
        <f>'Data Kriteria'!M13</f>
        <v>1</v>
      </c>
      <c r="B282" s="30">
        <f>'Data Kriteria'!B13</f>
        <v>0</v>
      </c>
      <c r="C282" s="81">
        <f>IF(OR(C273=1,$A$282=1),1,$A$282/C273)</f>
        <v>1</v>
      </c>
      <c r="D282" s="81">
        <f t="shared" ref="D282:Q282" si="181">IF(OR(D273=1,$A$282=1),1,$A$282/D273)</f>
        <v>1</v>
      </c>
      <c r="E282" s="81">
        <f t="shared" si="181"/>
        <v>1</v>
      </c>
      <c r="F282" s="81">
        <f t="shared" si="181"/>
        <v>1</v>
      </c>
      <c r="G282" s="81">
        <f t="shared" si="181"/>
        <v>1</v>
      </c>
      <c r="H282" s="81">
        <f t="shared" si="181"/>
        <v>1</v>
      </c>
      <c r="I282" s="81">
        <f t="shared" si="181"/>
        <v>1</v>
      </c>
      <c r="J282" s="81">
        <f t="shared" si="181"/>
        <v>1</v>
      </c>
      <c r="K282" s="81">
        <f t="shared" si="181"/>
        <v>1</v>
      </c>
      <c r="L282" s="81">
        <f t="shared" si="181"/>
        <v>1</v>
      </c>
      <c r="M282" s="81">
        <f t="shared" si="181"/>
        <v>1</v>
      </c>
      <c r="N282" s="81">
        <f t="shared" si="181"/>
        <v>1</v>
      </c>
      <c r="O282" s="81">
        <f t="shared" si="181"/>
        <v>1</v>
      </c>
      <c r="P282" s="81">
        <f t="shared" si="181"/>
        <v>1</v>
      </c>
      <c r="Q282" s="81">
        <f t="shared" si="181"/>
        <v>1</v>
      </c>
      <c r="R282" s="14">
        <f t="shared" si="174"/>
        <v>0</v>
      </c>
      <c r="S282" s="14">
        <f>IF(J274=0,0,R282/$R$290)</f>
        <v>0</v>
      </c>
      <c r="T282" s="14">
        <f t="shared" si="175"/>
        <v>0</v>
      </c>
    </row>
    <row r="283" spans="1:20" x14ac:dyDescent="0.35">
      <c r="A283" s="80">
        <f>'Data Kriteria'!M14</f>
        <v>1</v>
      </c>
      <c r="B283" s="30">
        <f>'Data Kriteria'!B14</f>
        <v>0</v>
      </c>
      <c r="C283" s="81">
        <f t="shared" ref="C283:Q283" si="182">IF(OR(C273=1,$A$283=1),1,$A$283/C273)</f>
        <v>1</v>
      </c>
      <c r="D283" s="81">
        <f t="shared" si="182"/>
        <v>1</v>
      </c>
      <c r="E283" s="81">
        <f t="shared" si="182"/>
        <v>1</v>
      </c>
      <c r="F283" s="81">
        <f t="shared" si="182"/>
        <v>1</v>
      </c>
      <c r="G283" s="81">
        <f t="shared" si="182"/>
        <v>1</v>
      </c>
      <c r="H283" s="81">
        <f t="shared" si="182"/>
        <v>1</v>
      </c>
      <c r="I283" s="81">
        <f t="shared" si="182"/>
        <v>1</v>
      </c>
      <c r="J283" s="81">
        <f t="shared" si="182"/>
        <v>1</v>
      </c>
      <c r="K283" s="81">
        <f t="shared" si="182"/>
        <v>1</v>
      </c>
      <c r="L283" s="81">
        <f t="shared" si="182"/>
        <v>1</v>
      </c>
      <c r="M283" s="81">
        <f t="shared" si="182"/>
        <v>1</v>
      </c>
      <c r="N283" s="81">
        <f t="shared" si="182"/>
        <v>1</v>
      </c>
      <c r="O283" s="81">
        <f t="shared" si="182"/>
        <v>1</v>
      </c>
      <c r="P283" s="81">
        <f t="shared" si="182"/>
        <v>1</v>
      </c>
      <c r="Q283" s="81">
        <f t="shared" si="182"/>
        <v>1</v>
      </c>
      <c r="R283" s="14">
        <f t="shared" si="174"/>
        <v>0</v>
      </c>
      <c r="S283" s="14">
        <f>IF(K274=0,0,R283/$R$290)</f>
        <v>0</v>
      </c>
      <c r="T283" s="14">
        <f t="shared" si="175"/>
        <v>0</v>
      </c>
    </row>
    <row r="284" spans="1:20" x14ac:dyDescent="0.35">
      <c r="A284" s="80">
        <f>'Data Kriteria'!M15</f>
        <v>1</v>
      </c>
      <c r="B284" s="30">
        <f>'Data Kriteria'!B15</f>
        <v>0</v>
      </c>
      <c r="C284" s="81">
        <f>IF(OR(C273=1,$A$284=1),1,$A$284/C273)</f>
        <v>1</v>
      </c>
      <c r="D284" s="81">
        <f t="shared" ref="D284:Q284" si="183">IF(OR(D273=1,$A$284=1),1,$A$284/D273)</f>
        <v>1</v>
      </c>
      <c r="E284" s="81">
        <f t="shared" si="183"/>
        <v>1</v>
      </c>
      <c r="F284" s="81">
        <f t="shared" si="183"/>
        <v>1</v>
      </c>
      <c r="G284" s="81">
        <f t="shared" si="183"/>
        <v>1</v>
      </c>
      <c r="H284" s="81">
        <f t="shared" si="183"/>
        <v>1</v>
      </c>
      <c r="I284" s="81">
        <f t="shared" si="183"/>
        <v>1</v>
      </c>
      <c r="J284" s="81">
        <f t="shared" si="183"/>
        <v>1</v>
      </c>
      <c r="K284" s="81">
        <f t="shared" si="183"/>
        <v>1</v>
      </c>
      <c r="L284" s="81">
        <f t="shared" si="183"/>
        <v>1</v>
      </c>
      <c r="M284" s="81">
        <f t="shared" si="183"/>
        <v>1</v>
      </c>
      <c r="N284" s="81">
        <f t="shared" si="183"/>
        <v>1</v>
      </c>
      <c r="O284" s="81">
        <f t="shared" si="183"/>
        <v>1</v>
      </c>
      <c r="P284" s="81">
        <f t="shared" si="183"/>
        <v>1</v>
      </c>
      <c r="Q284" s="81">
        <f t="shared" si="183"/>
        <v>1</v>
      </c>
      <c r="R284" s="14">
        <f t="shared" si="174"/>
        <v>0</v>
      </c>
      <c r="S284" s="14">
        <f>IF(L274=0,0,R284/$R$290)</f>
        <v>0</v>
      </c>
      <c r="T284" s="14">
        <f t="shared" si="175"/>
        <v>0</v>
      </c>
    </row>
    <row r="285" spans="1:20" x14ac:dyDescent="0.35">
      <c r="A285" s="80">
        <f>'Data Kriteria'!M16</f>
        <v>1</v>
      </c>
      <c r="B285" s="30">
        <f>'Data Kriteria'!B16</f>
        <v>0</v>
      </c>
      <c r="C285" s="81">
        <f>IF(OR(C273=1,$A$285=1),1,$A$285/C273)</f>
        <v>1</v>
      </c>
      <c r="D285" s="81">
        <f t="shared" ref="D285:Q285" si="184">IF(OR(D273=1,$A$285=1),1,$A$285/D273)</f>
        <v>1</v>
      </c>
      <c r="E285" s="81">
        <f t="shared" si="184"/>
        <v>1</v>
      </c>
      <c r="F285" s="81">
        <f t="shared" si="184"/>
        <v>1</v>
      </c>
      <c r="G285" s="81">
        <f t="shared" si="184"/>
        <v>1</v>
      </c>
      <c r="H285" s="81">
        <f t="shared" si="184"/>
        <v>1</v>
      </c>
      <c r="I285" s="81">
        <f t="shared" si="184"/>
        <v>1</v>
      </c>
      <c r="J285" s="81">
        <f t="shared" si="184"/>
        <v>1</v>
      </c>
      <c r="K285" s="81">
        <f t="shared" si="184"/>
        <v>1</v>
      </c>
      <c r="L285" s="81">
        <f t="shared" si="184"/>
        <v>1</v>
      </c>
      <c r="M285" s="81">
        <f t="shared" si="184"/>
        <v>1</v>
      </c>
      <c r="N285" s="81">
        <f t="shared" si="184"/>
        <v>1</v>
      </c>
      <c r="O285" s="81">
        <f t="shared" si="184"/>
        <v>1</v>
      </c>
      <c r="P285" s="81">
        <f t="shared" si="184"/>
        <v>1</v>
      </c>
      <c r="Q285" s="81">
        <f t="shared" si="184"/>
        <v>1</v>
      </c>
      <c r="R285" s="14">
        <f t="shared" si="174"/>
        <v>0</v>
      </c>
      <c r="S285" s="14">
        <f>IF(M274=0,0,R285/$R$290)</f>
        <v>0</v>
      </c>
      <c r="T285" s="14">
        <f t="shared" si="175"/>
        <v>0</v>
      </c>
    </row>
    <row r="286" spans="1:20" x14ac:dyDescent="0.35">
      <c r="A286" s="80">
        <f>'Data Kriteria'!M17</f>
        <v>1</v>
      </c>
      <c r="B286" s="30">
        <f>'Data Kriteria'!B17</f>
        <v>0</v>
      </c>
      <c r="C286" s="81">
        <f>IF(OR(C273=1,$A$286=1),1,$A$286/C273)</f>
        <v>1</v>
      </c>
      <c r="D286" s="81">
        <f t="shared" ref="D286:Q286" si="185">IF(OR(D273=1,$A$286=1),1,$A$286/D273)</f>
        <v>1</v>
      </c>
      <c r="E286" s="81">
        <f t="shared" si="185"/>
        <v>1</v>
      </c>
      <c r="F286" s="81">
        <f t="shared" si="185"/>
        <v>1</v>
      </c>
      <c r="G286" s="81">
        <f t="shared" si="185"/>
        <v>1</v>
      </c>
      <c r="H286" s="81">
        <f t="shared" si="185"/>
        <v>1</v>
      </c>
      <c r="I286" s="81">
        <f t="shared" si="185"/>
        <v>1</v>
      </c>
      <c r="J286" s="81">
        <f t="shared" si="185"/>
        <v>1</v>
      </c>
      <c r="K286" s="81">
        <f t="shared" si="185"/>
        <v>1</v>
      </c>
      <c r="L286" s="81">
        <f t="shared" si="185"/>
        <v>1</v>
      </c>
      <c r="M286" s="81">
        <f t="shared" si="185"/>
        <v>1</v>
      </c>
      <c r="N286" s="81">
        <f t="shared" si="185"/>
        <v>1</v>
      </c>
      <c r="O286" s="81">
        <f t="shared" si="185"/>
        <v>1</v>
      </c>
      <c r="P286" s="81">
        <f t="shared" si="185"/>
        <v>1</v>
      </c>
      <c r="Q286" s="81">
        <f t="shared" si="185"/>
        <v>1</v>
      </c>
      <c r="R286" s="14">
        <f t="shared" si="174"/>
        <v>0</v>
      </c>
      <c r="S286" s="14">
        <f>IF(N274=0,0,R286/$R$290)</f>
        <v>0</v>
      </c>
      <c r="T286" s="14">
        <f t="shared" si="175"/>
        <v>0</v>
      </c>
    </row>
    <row r="287" spans="1:20" x14ac:dyDescent="0.35">
      <c r="A287" s="80">
        <f>'Data Kriteria'!M18</f>
        <v>1</v>
      </c>
      <c r="B287" s="30">
        <f>'Data Kriteria'!B18</f>
        <v>0</v>
      </c>
      <c r="C287" s="81">
        <f>IF(OR(C273=1,$A$287=1),1,$A$287/C273)</f>
        <v>1</v>
      </c>
      <c r="D287" s="81">
        <f t="shared" ref="D287:Q287" si="186">IF(OR(D273=1,$A$287=1),1,$A$287/D273)</f>
        <v>1</v>
      </c>
      <c r="E287" s="81">
        <f t="shared" si="186"/>
        <v>1</v>
      </c>
      <c r="F287" s="81">
        <f t="shared" si="186"/>
        <v>1</v>
      </c>
      <c r="G287" s="81">
        <f t="shared" si="186"/>
        <v>1</v>
      </c>
      <c r="H287" s="81">
        <f t="shared" si="186"/>
        <v>1</v>
      </c>
      <c r="I287" s="81">
        <f t="shared" si="186"/>
        <v>1</v>
      </c>
      <c r="J287" s="81">
        <f t="shared" si="186"/>
        <v>1</v>
      </c>
      <c r="K287" s="81">
        <f t="shared" si="186"/>
        <v>1</v>
      </c>
      <c r="L287" s="81">
        <f t="shared" si="186"/>
        <v>1</v>
      </c>
      <c r="M287" s="81">
        <f t="shared" si="186"/>
        <v>1</v>
      </c>
      <c r="N287" s="81">
        <f t="shared" si="186"/>
        <v>1</v>
      </c>
      <c r="O287" s="81">
        <f t="shared" si="186"/>
        <v>1</v>
      </c>
      <c r="P287" s="81">
        <f t="shared" si="186"/>
        <v>1</v>
      </c>
      <c r="Q287" s="81">
        <f t="shared" si="186"/>
        <v>1</v>
      </c>
      <c r="R287" s="14">
        <f t="shared" si="174"/>
        <v>0</v>
      </c>
      <c r="S287" s="14">
        <f>IF(O274=0,0,R287/$R$290)</f>
        <v>0</v>
      </c>
      <c r="T287" s="14">
        <f t="shared" si="175"/>
        <v>0</v>
      </c>
    </row>
    <row r="288" spans="1:20" x14ac:dyDescent="0.35">
      <c r="A288" s="80">
        <f>'Data Kriteria'!M19</f>
        <v>1</v>
      </c>
      <c r="B288" s="30">
        <f>'Data Kriteria'!B19</f>
        <v>0</v>
      </c>
      <c r="C288" s="81">
        <f>IF(OR(C273=1,$A$288=1),1,$A$288/C273)</f>
        <v>1</v>
      </c>
      <c r="D288" s="81">
        <f t="shared" ref="D288:Q288" si="187">IF(OR(D273=1,$A$288=1),1,$A$288/D273)</f>
        <v>1</v>
      </c>
      <c r="E288" s="81">
        <f t="shared" si="187"/>
        <v>1</v>
      </c>
      <c r="F288" s="81">
        <f t="shared" si="187"/>
        <v>1</v>
      </c>
      <c r="G288" s="81">
        <f t="shared" si="187"/>
        <v>1</v>
      </c>
      <c r="H288" s="81">
        <f t="shared" si="187"/>
        <v>1</v>
      </c>
      <c r="I288" s="81">
        <f t="shared" si="187"/>
        <v>1</v>
      </c>
      <c r="J288" s="81">
        <f t="shared" si="187"/>
        <v>1</v>
      </c>
      <c r="K288" s="81">
        <f t="shared" si="187"/>
        <v>1</v>
      </c>
      <c r="L288" s="81">
        <f t="shared" si="187"/>
        <v>1</v>
      </c>
      <c r="M288" s="81">
        <f t="shared" si="187"/>
        <v>1</v>
      </c>
      <c r="N288" s="81">
        <f t="shared" si="187"/>
        <v>1</v>
      </c>
      <c r="O288" s="81">
        <f t="shared" si="187"/>
        <v>1</v>
      </c>
      <c r="P288" s="81">
        <f t="shared" si="187"/>
        <v>1</v>
      </c>
      <c r="Q288" s="81">
        <f t="shared" si="187"/>
        <v>1</v>
      </c>
      <c r="R288" s="14">
        <f t="shared" si="174"/>
        <v>0</v>
      </c>
      <c r="S288" s="14">
        <f>IF(P274=0,0,R288/$R$290)</f>
        <v>0</v>
      </c>
      <c r="T288" s="14">
        <f t="shared" si="175"/>
        <v>0</v>
      </c>
    </row>
    <row r="289" spans="1:20" x14ac:dyDescent="0.35">
      <c r="A289" s="80">
        <f>'Data Kriteria'!M20</f>
        <v>1</v>
      </c>
      <c r="B289" s="30">
        <f>'Data Kriteria'!B20</f>
        <v>0</v>
      </c>
      <c r="C289" s="81">
        <f>IF(OR(C273=1,$A$289=1),1,$A$289/C273)</f>
        <v>1</v>
      </c>
      <c r="D289" s="81">
        <f t="shared" ref="D289:Q289" si="188">IF(OR(D273=1,$A$289=1),1,$A$289/D273)</f>
        <v>1</v>
      </c>
      <c r="E289" s="81">
        <f t="shared" si="188"/>
        <v>1</v>
      </c>
      <c r="F289" s="81">
        <f t="shared" si="188"/>
        <v>1</v>
      </c>
      <c r="G289" s="81">
        <f t="shared" si="188"/>
        <v>1</v>
      </c>
      <c r="H289" s="81">
        <f t="shared" si="188"/>
        <v>1</v>
      </c>
      <c r="I289" s="81">
        <f t="shared" si="188"/>
        <v>1</v>
      </c>
      <c r="J289" s="81">
        <f t="shared" si="188"/>
        <v>1</v>
      </c>
      <c r="K289" s="81">
        <f t="shared" si="188"/>
        <v>1</v>
      </c>
      <c r="L289" s="81">
        <f t="shared" si="188"/>
        <v>1</v>
      </c>
      <c r="M289" s="81">
        <f t="shared" si="188"/>
        <v>1</v>
      </c>
      <c r="N289" s="81">
        <f t="shared" si="188"/>
        <v>1</v>
      </c>
      <c r="O289" s="81">
        <f t="shared" si="188"/>
        <v>1</v>
      </c>
      <c r="P289" s="81">
        <f t="shared" si="188"/>
        <v>1</v>
      </c>
      <c r="Q289" s="81">
        <f t="shared" si="188"/>
        <v>1</v>
      </c>
      <c r="R289" s="14">
        <f t="shared" si="174"/>
        <v>0</v>
      </c>
      <c r="S289" s="14">
        <f>IF(Q274=0,0,R289/$R$290)</f>
        <v>0</v>
      </c>
      <c r="T289" s="14">
        <f t="shared" si="175"/>
        <v>0</v>
      </c>
    </row>
    <row r="290" spans="1:20" x14ac:dyDescent="0.35">
      <c r="R290" s="14">
        <f>SUM(R275:R289)</f>
        <v>0</v>
      </c>
      <c r="S290" s="14">
        <f>SUM(S275:S289)</f>
        <v>0</v>
      </c>
      <c r="T290" s="15">
        <f>MAX(T275:T289)</f>
        <v>0</v>
      </c>
    </row>
    <row r="292" spans="1:20" ht="15" thickBot="1" x14ac:dyDescent="0.4">
      <c r="S292" s="5" t="s">
        <v>49</v>
      </c>
      <c r="T292" s="16">
        <f>T290</f>
        <v>0</v>
      </c>
    </row>
    <row r="293" spans="1:20" ht="15" thickBot="1" x14ac:dyDescent="0.4">
      <c r="B293" s="4" t="s">
        <v>38</v>
      </c>
      <c r="C293" s="4"/>
      <c r="D293" s="4"/>
      <c r="E293" s="51">
        <f>E266</f>
        <v>0</v>
      </c>
      <c r="S293" s="6" t="s">
        <v>39</v>
      </c>
      <c r="T293" s="3">
        <f>(T292-15)/(15-1)</f>
        <v>-1.0714285714285714</v>
      </c>
    </row>
    <row r="294" spans="1:20" x14ac:dyDescent="0.35">
      <c r="S294" s="6" t="s">
        <v>40</v>
      </c>
      <c r="T294" s="57" t="b">
        <f>IF(E293=E295,E296,IF(E293=F295,F296,IF(E293=G295,G296,IF(E293=H295,H296,IF(E293=I295,I296,IF(E293=J295,J296,IF(E293=K295,K296,IF(E293=L295,L296,IF(E293=M295,M296,IF(E293=N295,N296,IF(E293=O295,O296,IF(E293=P295,P296,IF(E293=Q295,Q296)))))))))))))</f>
        <v>0</v>
      </c>
    </row>
    <row r="295" spans="1:20" x14ac:dyDescent="0.35">
      <c r="B295" s="2" t="s">
        <v>41</v>
      </c>
      <c r="C295" s="2">
        <v>1</v>
      </c>
      <c r="D295" s="2">
        <v>2</v>
      </c>
      <c r="E295" s="2">
        <v>3</v>
      </c>
      <c r="F295" s="2">
        <v>4</v>
      </c>
      <c r="G295" s="2">
        <v>5</v>
      </c>
      <c r="H295" s="2">
        <v>6</v>
      </c>
      <c r="I295" s="2">
        <v>7</v>
      </c>
      <c r="J295" s="2">
        <v>8</v>
      </c>
      <c r="K295" s="2">
        <v>9</v>
      </c>
      <c r="L295" s="2">
        <v>10</v>
      </c>
      <c r="M295" s="2">
        <v>11</v>
      </c>
      <c r="N295" s="2">
        <v>12</v>
      </c>
      <c r="O295" s="2">
        <v>13</v>
      </c>
      <c r="P295" s="2">
        <v>14</v>
      </c>
      <c r="Q295" s="2">
        <v>15</v>
      </c>
      <c r="S295" s="6" t="s">
        <v>42</v>
      </c>
      <c r="T295" s="16" t="e">
        <f>T293/T294</f>
        <v>#DIV/0!</v>
      </c>
    </row>
    <row r="296" spans="1:20" x14ac:dyDescent="0.35">
      <c r="B296" s="2" t="s">
        <v>40</v>
      </c>
      <c r="C296" s="87">
        <v>0</v>
      </c>
      <c r="D296" s="87">
        <v>0</v>
      </c>
      <c r="E296" s="87">
        <v>0.57999999999999996</v>
      </c>
      <c r="F296" s="87">
        <v>0.9</v>
      </c>
      <c r="G296" s="87">
        <v>1.1200000000000001</v>
      </c>
      <c r="H296" s="87">
        <v>1.24</v>
      </c>
      <c r="I296" s="87">
        <v>1.32</v>
      </c>
      <c r="J296" s="87">
        <v>1.41</v>
      </c>
      <c r="K296" s="87">
        <v>1.45</v>
      </c>
      <c r="L296" s="87">
        <v>1.49</v>
      </c>
      <c r="M296" s="87">
        <v>1.51</v>
      </c>
      <c r="N296" s="87">
        <v>1.54</v>
      </c>
      <c r="O296" s="87">
        <v>1.56</v>
      </c>
      <c r="P296" s="87">
        <v>1.57</v>
      </c>
      <c r="Q296" s="87">
        <v>1.58</v>
      </c>
    </row>
    <row r="297" spans="1:20" x14ac:dyDescent="0.35">
      <c r="S297" s="6" t="s">
        <v>43</v>
      </c>
      <c r="T297" s="1" t="s">
        <v>44</v>
      </c>
    </row>
    <row r="298" spans="1:20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x14ac:dyDescent="0.35">
      <c r="A299" s="46" t="s">
        <v>46</v>
      </c>
      <c r="B299" s="88">
        <f>'Data Kriteria'!N5</f>
        <v>0</v>
      </c>
    </row>
    <row r="300" spans="1:20" x14ac:dyDescent="0.35">
      <c r="C300" s="44" cm="1">
        <f t="array" ref="C300:Q300">TRANSPOSE(A302:A316)</f>
        <v>1</v>
      </c>
      <c r="D300" s="44">
        <v>1</v>
      </c>
      <c r="E300" s="44">
        <v>1</v>
      </c>
      <c r="F300" s="44">
        <v>1</v>
      </c>
      <c r="G300" s="44">
        <v>1</v>
      </c>
      <c r="H300" s="44">
        <v>1</v>
      </c>
      <c r="I300" s="44">
        <v>1</v>
      </c>
      <c r="J300" s="44">
        <v>1</v>
      </c>
      <c r="K300" s="44">
        <v>1</v>
      </c>
      <c r="L300" s="44">
        <v>1</v>
      </c>
      <c r="M300" s="44">
        <v>1</v>
      </c>
      <c r="N300" s="44">
        <v>1</v>
      </c>
      <c r="O300" s="44">
        <v>1</v>
      </c>
      <c r="P300" s="44">
        <v>1</v>
      </c>
      <c r="Q300" s="44">
        <v>1</v>
      </c>
    </row>
    <row r="301" spans="1:20" x14ac:dyDescent="0.35">
      <c r="B301" s="83">
        <v>12</v>
      </c>
      <c r="C301" s="30" cm="1">
        <f t="array" ref="C301:Q301">TRANSPOSE(B302:B316)</f>
        <v>0</v>
      </c>
      <c r="D301" s="30">
        <v>0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86" t="s">
        <v>47</v>
      </c>
      <c r="S301" s="45" t="s">
        <v>35</v>
      </c>
      <c r="T301" s="45" t="s">
        <v>48</v>
      </c>
    </row>
    <row r="302" spans="1:20" x14ac:dyDescent="0.35">
      <c r="A302" s="44">
        <f>'Data Kriteria'!N6</f>
        <v>1</v>
      </c>
      <c r="B302" s="30">
        <f>'Data Kriteria'!B6</f>
        <v>0</v>
      </c>
      <c r="C302" s="81">
        <f>IF(OR(C300=1,$A$302=1),1,$A$302/C300)</f>
        <v>1</v>
      </c>
      <c r="D302" s="81">
        <f t="shared" ref="D302:Q302" si="189">IF(OR(D300=1,$A$302=1),1,$A$302/D300)</f>
        <v>1</v>
      </c>
      <c r="E302" s="81">
        <f t="shared" si="189"/>
        <v>1</v>
      </c>
      <c r="F302" s="81">
        <f t="shared" si="189"/>
        <v>1</v>
      </c>
      <c r="G302" s="81">
        <f t="shared" si="189"/>
        <v>1</v>
      </c>
      <c r="H302" s="81">
        <f t="shared" si="189"/>
        <v>1</v>
      </c>
      <c r="I302" s="81">
        <f t="shared" si="189"/>
        <v>1</v>
      </c>
      <c r="J302" s="81">
        <f t="shared" si="189"/>
        <v>1</v>
      </c>
      <c r="K302" s="81">
        <f t="shared" si="189"/>
        <v>1</v>
      </c>
      <c r="L302" s="81">
        <f t="shared" si="189"/>
        <v>1</v>
      </c>
      <c r="M302" s="81">
        <f t="shared" si="189"/>
        <v>1</v>
      </c>
      <c r="N302" s="81">
        <f t="shared" si="189"/>
        <v>1</v>
      </c>
      <c r="O302" s="81">
        <f t="shared" si="189"/>
        <v>1</v>
      </c>
      <c r="P302" s="81">
        <f t="shared" si="189"/>
        <v>1</v>
      </c>
      <c r="Q302" s="81">
        <f t="shared" si="189"/>
        <v>1</v>
      </c>
      <c r="R302" s="14">
        <f>IF(A302=1,0,(C302*D302*E302*F302*G302*H302*I302*J302*K302*L302*M302*N302*O302*P302*Q302)^(1/$E$320))</f>
        <v>0</v>
      </c>
      <c r="S302" s="14">
        <f>IF(C301=0,0,R302/$R$317)</f>
        <v>0</v>
      </c>
      <c r="T302" s="14">
        <f>IF(A302=1,0,(C302*$S$113+D302*$S$114+E302*$S$115+F302*$S$116+G302*$S$117+H302*$S$118+I302*$S$119+J302*$S$120+K302*$S$121+L302*$S$122+M302*$S$123+N302*$S$124+O302*$S$125+P302*$S$126+Q302*$S$127)/S302)</f>
        <v>0</v>
      </c>
    </row>
    <row r="303" spans="1:20" x14ac:dyDescent="0.35">
      <c r="A303" s="44">
        <f>'Data Kriteria'!N7</f>
        <v>1</v>
      </c>
      <c r="B303" s="30">
        <f>'Data Kriteria'!B7</f>
        <v>0</v>
      </c>
      <c r="C303" s="81">
        <f>IF(OR(C300=1,$A$303=1),1,$A$303/C300)</f>
        <v>1</v>
      </c>
      <c r="D303" s="81">
        <f t="shared" ref="D303:Q303" si="190">IF(OR(D300=1,$A$303=1),1,$A$303/D300)</f>
        <v>1</v>
      </c>
      <c r="E303" s="81">
        <f t="shared" si="190"/>
        <v>1</v>
      </c>
      <c r="F303" s="81">
        <f t="shared" si="190"/>
        <v>1</v>
      </c>
      <c r="G303" s="81">
        <f t="shared" si="190"/>
        <v>1</v>
      </c>
      <c r="H303" s="81">
        <f t="shared" si="190"/>
        <v>1</v>
      </c>
      <c r="I303" s="81">
        <f t="shared" si="190"/>
        <v>1</v>
      </c>
      <c r="J303" s="81">
        <f t="shared" si="190"/>
        <v>1</v>
      </c>
      <c r="K303" s="81">
        <f t="shared" si="190"/>
        <v>1</v>
      </c>
      <c r="L303" s="81">
        <f t="shared" si="190"/>
        <v>1</v>
      </c>
      <c r="M303" s="81">
        <f t="shared" si="190"/>
        <v>1</v>
      </c>
      <c r="N303" s="81">
        <f t="shared" si="190"/>
        <v>1</v>
      </c>
      <c r="O303" s="81">
        <f t="shared" si="190"/>
        <v>1</v>
      </c>
      <c r="P303" s="81">
        <f t="shared" si="190"/>
        <v>1</v>
      </c>
      <c r="Q303" s="81">
        <f t="shared" si="190"/>
        <v>1</v>
      </c>
      <c r="R303" s="14">
        <f t="shared" ref="R303:R316" si="191">IF(A303=1,0,(C303*D303*E303*F303*G303*H303*I303*J303*K303*L303*M303*N303*O303*P303*Q303)^(1/$E$320))</f>
        <v>0</v>
      </c>
      <c r="S303" s="14">
        <f>IF(D301=0,0,R303/$R$317)</f>
        <v>0</v>
      </c>
      <c r="T303" s="14">
        <f t="shared" ref="T303:T316" si="192">IF(A303=1,0,(C303*$S$113+D303*$S$114+E303*$S$115+F303*$S$116+G303*$S$117+H303*$S$118+I303*$S$119+J303*$S$120+K303*$S$121+L303*$S$122+M303*$S$123+N303*$S$124+O303*$S$125+P303*$S$126+Q303*$S$127)/S303)</f>
        <v>0</v>
      </c>
    </row>
    <row r="304" spans="1:20" x14ac:dyDescent="0.35">
      <c r="A304" s="44">
        <f>'Data Kriteria'!N8</f>
        <v>1</v>
      </c>
      <c r="B304" s="30">
        <f>'Data Kriteria'!B8</f>
        <v>0</v>
      </c>
      <c r="C304" s="81">
        <f>IF(OR(C300=1,$A$304=1),1,$A$304/C300)</f>
        <v>1</v>
      </c>
      <c r="D304" s="81">
        <f t="shared" ref="D304:Q304" si="193">IF(OR(D300=1,$A$304=1),1,$A$304/D300)</f>
        <v>1</v>
      </c>
      <c r="E304" s="81">
        <f t="shared" si="193"/>
        <v>1</v>
      </c>
      <c r="F304" s="81">
        <f t="shared" si="193"/>
        <v>1</v>
      </c>
      <c r="G304" s="81">
        <f t="shared" si="193"/>
        <v>1</v>
      </c>
      <c r="H304" s="81">
        <f t="shared" si="193"/>
        <v>1</v>
      </c>
      <c r="I304" s="81">
        <f t="shared" si="193"/>
        <v>1</v>
      </c>
      <c r="J304" s="81">
        <f t="shared" si="193"/>
        <v>1</v>
      </c>
      <c r="K304" s="81">
        <f t="shared" si="193"/>
        <v>1</v>
      </c>
      <c r="L304" s="81">
        <f t="shared" si="193"/>
        <v>1</v>
      </c>
      <c r="M304" s="81">
        <f t="shared" si="193"/>
        <v>1</v>
      </c>
      <c r="N304" s="81">
        <f t="shared" si="193"/>
        <v>1</v>
      </c>
      <c r="O304" s="81">
        <f t="shared" si="193"/>
        <v>1</v>
      </c>
      <c r="P304" s="81">
        <f t="shared" si="193"/>
        <v>1</v>
      </c>
      <c r="Q304" s="81">
        <f t="shared" si="193"/>
        <v>1</v>
      </c>
      <c r="R304" s="14">
        <f t="shared" si="191"/>
        <v>0</v>
      </c>
      <c r="S304" s="14">
        <f>IF(E301=0,0,R304/$R$317)</f>
        <v>0</v>
      </c>
      <c r="T304" s="14">
        <f t="shared" si="192"/>
        <v>0</v>
      </c>
    </row>
    <row r="305" spans="1:20" x14ac:dyDescent="0.35">
      <c r="A305" s="44">
        <f>'Data Kriteria'!N9</f>
        <v>1</v>
      </c>
      <c r="B305" s="30">
        <f>'Data Kriteria'!B9</f>
        <v>0</v>
      </c>
      <c r="C305" s="81">
        <f>IF(OR(C300=1,$A$305=1),1,$A$305/C300)</f>
        <v>1</v>
      </c>
      <c r="D305" s="81">
        <f t="shared" ref="D305:Q305" si="194">IF(OR(D300=1,$A$305=1),1,$A$305/D300)</f>
        <v>1</v>
      </c>
      <c r="E305" s="81">
        <f t="shared" si="194"/>
        <v>1</v>
      </c>
      <c r="F305" s="81">
        <f t="shared" si="194"/>
        <v>1</v>
      </c>
      <c r="G305" s="81">
        <f t="shared" si="194"/>
        <v>1</v>
      </c>
      <c r="H305" s="81">
        <f t="shared" si="194"/>
        <v>1</v>
      </c>
      <c r="I305" s="81">
        <f t="shared" si="194"/>
        <v>1</v>
      </c>
      <c r="J305" s="81">
        <f t="shared" si="194"/>
        <v>1</v>
      </c>
      <c r="K305" s="81">
        <f t="shared" si="194"/>
        <v>1</v>
      </c>
      <c r="L305" s="81">
        <f t="shared" si="194"/>
        <v>1</v>
      </c>
      <c r="M305" s="81">
        <f t="shared" si="194"/>
        <v>1</v>
      </c>
      <c r="N305" s="81">
        <f t="shared" si="194"/>
        <v>1</v>
      </c>
      <c r="O305" s="81">
        <f t="shared" si="194"/>
        <v>1</v>
      </c>
      <c r="P305" s="81">
        <f t="shared" si="194"/>
        <v>1</v>
      </c>
      <c r="Q305" s="81">
        <f t="shared" si="194"/>
        <v>1</v>
      </c>
      <c r="R305" s="14">
        <f t="shared" si="191"/>
        <v>0</v>
      </c>
      <c r="S305" s="14">
        <f>IF(F301=0,0,R305/$R$317)</f>
        <v>0</v>
      </c>
      <c r="T305" s="14">
        <f t="shared" si="192"/>
        <v>0</v>
      </c>
    </row>
    <row r="306" spans="1:20" x14ac:dyDescent="0.35">
      <c r="A306" s="44">
        <f>'Data Kriteria'!N10</f>
        <v>1</v>
      </c>
      <c r="B306" s="30">
        <f>'Data Kriteria'!B10</f>
        <v>0</v>
      </c>
      <c r="C306" s="81">
        <f>IF(OR(C300=1,$A$306=1),1,$A$306/C300)</f>
        <v>1</v>
      </c>
      <c r="D306" s="81">
        <f t="shared" ref="D306:Q306" si="195">IF(OR(D300=1,$A$306=1),1,$A$306/D300)</f>
        <v>1</v>
      </c>
      <c r="E306" s="81">
        <f t="shared" si="195"/>
        <v>1</v>
      </c>
      <c r="F306" s="81">
        <f t="shared" si="195"/>
        <v>1</v>
      </c>
      <c r="G306" s="81">
        <f t="shared" si="195"/>
        <v>1</v>
      </c>
      <c r="H306" s="81">
        <f t="shared" si="195"/>
        <v>1</v>
      </c>
      <c r="I306" s="81">
        <f t="shared" si="195"/>
        <v>1</v>
      </c>
      <c r="J306" s="81">
        <f t="shared" si="195"/>
        <v>1</v>
      </c>
      <c r="K306" s="81">
        <f t="shared" si="195"/>
        <v>1</v>
      </c>
      <c r="L306" s="81">
        <f t="shared" si="195"/>
        <v>1</v>
      </c>
      <c r="M306" s="81">
        <f t="shared" si="195"/>
        <v>1</v>
      </c>
      <c r="N306" s="81">
        <f t="shared" si="195"/>
        <v>1</v>
      </c>
      <c r="O306" s="81">
        <f t="shared" si="195"/>
        <v>1</v>
      </c>
      <c r="P306" s="81">
        <f t="shared" si="195"/>
        <v>1</v>
      </c>
      <c r="Q306" s="81">
        <f t="shared" si="195"/>
        <v>1</v>
      </c>
      <c r="R306" s="14">
        <f t="shared" si="191"/>
        <v>0</v>
      </c>
      <c r="S306" s="14">
        <f>IF(G301=0,0,R306/$R$317)</f>
        <v>0</v>
      </c>
      <c r="T306" s="14">
        <f t="shared" si="192"/>
        <v>0</v>
      </c>
    </row>
    <row r="307" spans="1:20" x14ac:dyDescent="0.35">
      <c r="A307" s="44">
        <f>'Data Kriteria'!N11</f>
        <v>1</v>
      </c>
      <c r="B307" s="30">
        <f>'Data Kriteria'!B11</f>
        <v>0</v>
      </c>
      <c r="C307" s="81">
        <f>IF(OR(C300=1,$A$307=1),1,$A$307/C300)</f>
        <v>1</v>
      </c>
      <c r="D307" s="81">
        <f t="shared" ref="D307:Q307" si="196">IF(OR(D300=1,$A$307=1),1,$A$307/D300)</f>
        <v>1</v>
      </c>
      <c r="E307" s="81">
        <f t="shared" si="196"/>
        <v>1</v>
      </c>
      <c r="F307" s="81">
        <f t="shared" si="196"/>
        <v>1</v>
      </c>
      <c r="G307" s="81">
        <f t="shared" si="196"/>
        <v>1</v>
      </c>
      <c r="H307" s="81">
        <f t="shared" si="196"/>
        <v>1</v>
      </c>
      <c r="I307" s="81">
        <f t="shared" si="196"/>
        <v>1</v>
      </c>
      <c r="J307" s="81">
        <f t="shared" si="196"/>
        <v>1</v>
      </c>
      <c r="K307" s="81">
        <f t="shared" si="196"/>
        <v>1</v>
      </c>
      <c r="L307" s="81">
        <f t="shared" si="196"/>
        <v>1</v>
      </c>
      <c r="M307" s="81">
        <f t="shared" si="196"/>
        <v>1</v>
      </c>
      <c r="N307" s="81">
        <f t="shared" si="196"/>
        <v>1</v>
      </c>
      <c r="O307" s="81">
        <f t="shared" si="196"/>
        <v>1</v>
      </c>
      <c r="P307" s="81">
        <f t="shared" si="196"/>
        <v>1</v>
      </c>
      <c r="Q307" s="81">
        <f t="shared" si="196"/>
        <v>1</v>
      </c>
      <c r="R307" s="14">
        <f t="shared" si="191"/>
        <v>0</v>
      </c>
      <c r="S307" s="14">
        <f>IF(H301=0,0,R307/$R$317)</f>
        <v>0</v>
      </c>
      <c r="T307" s="14">
        <f t="shared" si="192"/>
        <v>0</v>
      </c>
    </row>
    <row r="308" spans="1:20" x14ac:dyDescent="0.35">
      <c r="A308" s="44">
        <f>'Data Kriteria'!N12</f>
        <v>1</v>
      </c>
      <c r="B308" s="30">
        <f>'Data Kriteria'!B12</f>
        <v>0</v>
      </c>
      <c r="C308" s="81">
        <f>IF(OR(C300=1,$A$308=1),1,$A$308/C300)</f>
        <v>1</v>
      </c>
      <c r="D308" s="81">
        <f t="shared" ref="D308:Q308" si="197">IF(OR(D300=1,$A$308=1),1,$A$308/D300)</f>
        <v>1</v>
      </c>
      <c r="E308" s="81">
        <f t="shared" si="197"/>
        <v>1</v>
      </c>
      <c r="F308" s="81">
        <f t="shared" si="197"/>
        <v>1</v>
      </c>
      <c r="G308" s="81">
        <f t="shared" si="197"/>
        <v>1</v>
      </c>
      <c r="H308" s="81">
        <f t="shared" si="197"/>
        <v>1</v>
      </c>
      <c r="I308" s="81">
        <f t="shared" si="197"/>
        <v>1</v>
      </c>
      <c r="J308" s="81">
        <f t="shared" si="197"/>
        <v>1</v>
      </c>
      <c r="K308" s="81">
        <f t="shared" si="197"/>
        <v>1</v>
      </c>
      <c r="L308" s="81">
        <f t="shared" si="197"/>
        <v>1</v>
      </c>
      <c r="M308" s="81">
        <f t="shared" si="197"/>
        <v>1</v>
      </c>
      <c r="N308" s="81">
        <f t="shared" si="197"/>
        <v>1</v>
      </c>
      <c r="O308" s="81">
        <f t="shared" si="197"/>
        <v>1</v>
      </c>
      <c r="P308" s="81">
        <f t="shared" si="197"/>
        <v>1</v>
      </c>
      <c r="Q308" s="81">
        <f t="shared" si="197"/>
        <v>1</v>
      </c>
      <c r="R308" s="14">
        <f t="shared" si="191"/>
        <v>0</v>
      </c>
      <c r="S308" s="14">
        <f>IF(I301=0,0,R308/$R$317)</f>
        <v>0</v>
      </c>
      <c r="T308" s="14">
        <f t="shared" si="192"/>
        <v>0</v>
      </c>
    </row>
    <row r="309" spans="1:20" x14ac:dyDescent="0.35">
      <c r="A309" s="44">
        <f>'Data Kriteria'!N13</f>
        <v>1</v>
      </c>
      <c r="B309" s="30">
        <f>'Data Kriteria'!B13</f>
        <v>0</v>
      </c>
      <c r="C309" s="81">
        <f>IF(OR(C300=1,$A$309=1),1,$A$309/C300)</f>
        <v>1</v>
      </c>
      <c r="D309" s="81">
        <f t="shared" ref="D309:Q309" si="198">IF(OR(D300=1,$A$309=1),1,$A$309/D300)</f>
        <v>1</v>
      </c>
      <c r="E309" s="81">
        <f t="shared" si="198"/>
        <v>1</v>
      </c>
      <c r="F309" s="81">
        <f t="shared" si="198"/>
        <v>1</v>
      </c>
      <c r="G309" s="81">
        <f t="shared" si="198"/>
        <v>1</v>
      </c>
      <c r="H309" s="81">
        <f t="shared" si="198"/>
        <v>1</v>
      </c>
      <c r="I309" s="81">
        <f t="shared" si="198"/>
        <v>1</v>
      </c>
      <c r="J309" s="81">
        <f t="shared" si="198"/>
        <v>1</v>
      </c>
      <c r="K309" s="81">
        <f t="shared" si="198"/>
        <v>1</v>
      </c>
      <c r="L309" s="81">
        <f t="shared" si="198"/>
        <v>1</v>
      </c>
      <c r="M309" s="81">
        <f t="shared" si="198"/>
        <v>1</v>
      </c>
      <c r="N309" s="81">
        <f t="shared" si="198"/>
        <v>1</v>
      </c>
      <c r="O309" s="81">
        <f t="shared" si="198"/>
        <v>1</v>
      </c>
      <c r="P309" s="81">
        <f t="shared" si="198"/>
        <v>1</v>
      </c>
      <c r="Q309" s="81">
        <f t="shared" si="198"/>
        <v>1</v>
      </c>
      <c r="R309" s="14">
        <f t="shared" si="191"/>
        <v>0</v>
      </c>
      <c r="S309" s="14">
        <f>IF(J301=0,0,R309/$R$317)</f>
        <v>0</v>
      </c>
      <c r="T309" s="14">
        <f t="shared" si="192"/>
        <v>0</v>
      </c>
    </row>
    <row r="310" spans="1:20" x14ac:dyDescent="0.35">
      <c r="A310" s="44">
        <f>'Data Kriteria'!N14</f>
        <v>1</v>
      </c>
      <c r="B310" s="30">
        <f>'Data Kriteria'!B14</f>
        <v>0</v>
      </c>
      <c r="C310" s="81">
        <f t="shared" ref="C310:Q310" si="199">IF(OR(C300=1,$A$310=1),1,$A$310/C300)</f>
        <v>1</v>
      </c>
      <c r="D310" s="81">
        <f t="shared" si="199"/>
        <v>1</v>
      </c>
      <c r="E310" s="81">
        <f t="shared" si="199"/>
        <v>1</v>
      </c>
      <c r="F310" s="81">
        <f t="shared" si="199"/>
        <v>1</v>
      </c>
      <c r="G310" s="81">
        <f t="shared" si="199"/>
        <v>1</v>
      </c>
      <c r="H310" s="81">
        <f t="shared" si="199"/>
        <v>1</v>
      </c>
      <c r="I310" s="81">
        <f t="shared" si="199"/>
        <v>1</v>
      </c>
      <c r="J310" s="81">
        <f t="shared" si="199"/>
        <v>1</v>
      </c>
      <c r="K310" s="81">
        <f t="shared" si="199"/>
        <v>1</v>
      </c>
      <c r="L310" s="81">
        <f t="shared" si="199"/>
        <v>1</v>
      </c>
      <c r="M310" s="81">
        <f t="shared" si="199"/>
        <v>1</v>
      </c>
      <c r="N310" s="81">
        <f t="shared" si="199"/>
        <v>1</v>
      </c>
      <c r="O310" s="81">
        <f t="shared" si="199"/>
        <v>1</v>
      </c>
      <c r="P310" s="81">
        <f t="shared" si="199"/>
        <v>1</v>
      </c>
      <c r="Q310" s="81">
        <f t="shared" si="199"/>
        <v>1</v>
      </c>
      <c r="R310" s="14">
        <f t="shared" si="191"/>
        <v>0</v>
      </c>
      <c r="S310" s="14">
        <f>IF(K301=0,0,R310/$R$317)</f>
        <v>0</v>
      </c>
      <c r="T310" s="14">
        <f t="shared" si="192"/>
        <v>0</v>
      </c>
    </row>
    <row r="311" spans="1:20" x14ac:dyDescent="0.35">
      <c r="A311" s="44">
        <f>'Data Kriteria'!N15</f>
        <v>1</v>
      </c>
      <c r="B311" s="30">
        <f>'Data Kriteria'!B15</f>
        <v>0</v>
      </c>
      <c r="C311" s="81">
        <f>IF(OR(C300=1,$A$311=1),1,$A$311/C300)</f>
        <v>1</v>
      </c>
      <c r="D311" s="81">
        <f t="shared" ref="D311:Q311" si="200">IF(OR(D300=1,$A$311=1),1,$A$311/D300)</f>
        <v>1</v>
      </c>
      <c r="E311" s="81">
        <f t="shared" si="200"/>
        <v>1</v>
      </c>
      <c r="F311" s="81">
        <f t="shared" si="200"/>
        <v>1</v>
      </c>
      <c r="G311" s="81">
        <f t="shared" si="200"/>
        <v>1</v>
      </c>
      <c r="H311" s="81">
        <f t="shared" si="200"/>
        <v>1</v>
      </c>
      <c r="I311" s="81">
        <f t="shared" si="200"/>
        <v>1</v>
      </c>
      <c r="J311" s="81">
        <f t="shared" si="200"/>
        <v>1</v>
      </c>
      <c r="K311" s="81">
        <f t="shared" si="200"/>
        <v>1</v>
      </c>
      <c r="L311" s="81">
        <f t="shared" si="200"/>
        <v>1</v>
      </c>
      <c r="M311" s="81">
        <f t="shared" si="200"/>
        <v>1</v>
      </c>
      <c r="N311" s="81">
        <f t="shared" si="200"/>
        <v>1</v>
      </c>
      <c r="O311" s="81">
        <f t="shared" si="200"/>
        <v>1</v>
      </c>
      <c r="P311" s="81">
        <f t="shared" si="200"/>
        <v>1</v>
      </c>
      <c r="Q311" s="81">
        <f t="shared" si="200"/>
        <v>1</v>
      </c>
      <c r="R311" s="14">
        <f t="shared" si="191"/>
        <v>0</v>
      </c>
      <c r="S311" s="14">
        <f>IF(L301=0,0,R311/$R$317)</f>
        <v>0</v>
      </c>
      <c r="T311" s="14">
        <f t="shared" si="192"/>
        <v>0</v>
      </c>
    </row>
    <row r="312" spans="1:20" x14ac:dyDescent="0.35">
      <c r="A312" s="44">
        <f>'Data Kriteria'!N16</f>
        <v>1</v>
      </c>
      <c r="B312" s="30">
        <f>'Data Kriteria'!B16</f>
        <v>0</v>
      </c>
      <c r="C312" s="81">
        <f>IF(OR(C300=1,$A$312=1),1,$A$312/C300)</f>
        <v>1</v>
      </c>
      <c r="D312" s="81">
        <f t="shared" ref="D312:Q312" si="201">IF(OR(D300=1,$A$312=1),1,$A$312/D300)</f>
        <v>1</v>
      </c>
      <c r="E312" s="81">
        <f t="shared" si="201"/>
        <v>1</v>
      </c>
      <c r="F312" s="81">
        <f t="shared" si="201"/>
        <v>1</v>
      </c>
      <c r="G312" s="81">
        <f t="shared" si="201"/>
        <v>1</v>
      </c>
      <c r="H312" s="81">
        <f t="shared" si="201"/>
        <v>1</v>
      </c>
      <c r="I312" s="81">
        <f t="shared" si="201"/>
        <v>1</v>
      </c>
      <c r="J312" s="81">
        <f t="shared" si="201"/>
        <v>1</v>
      </c>
      <c r="K312" s="81">
        <f t="shared" si="201"/>
        <v>1</v>
      </c>
      <c r="L312" s="81">
        <f t="shared" si="201"/>
        <v>1</v>
      </c>
      <c r="M312" s="81">
        <f t="shared" si="201"/>
        <v>1</v>
      </c>
      <c r="N312" s="81">
        <f t="shared" si="201"/>
        <v>1</v>
      </c>
      <c r="O312" s="81">
        <f t="shared" si="201"/>
        <v>1</v>
      </c>
      <c r="P312" s="81">
        <f t="shared" si="201"/>
        <v>1</v>
      </c>
      <c r="Q312" s="81">
        <f t="shared" si="201"/>
        <v>1</v>
      </c>
      <c r="R312" s="14">
        <f t="shared" si="191"/>
        <v>0</v>
      </c>
      <c r="S312" s="14">
        <f>IF(M301=0,0,R312/$R$317)</f>
        <v>0</v>
      </c>
      <c r="T312" s="14">
        <f t="shared" si="192"/>
        <v>0</v>
      </c>
    </row>
    <row r="313" spans="1:20" x14ac:dyDescent="0.35">
      <c r="A313" s="44">
        <f>'Data Kriteria'!N17</f>
        <v>1</v>
      </c>
      <c r="B313" s="30">
        <f>'Data Kriteria'!B17</f>
        <v>0</v>
      </c>
      <c r="C313" s="81">
        <f>IF(OR(C300=1,$A$313=1),1,$A$313/C300)</f>
        <v>1</v>
      </c>
      <c r="D313" s="81">
        <f t="shared" ref="D313:Q313" si="202">IF(OR(D300=1,$A$313=1),1,$A$313/D300)</f>
        <v>1</v>
      </c>
      <c r="E313" s="81">
        <f t="shared" si="202"/>
        <v>1</v>
      </c>
      <c r="F313" s="81">
        <f t="shared" si="202"/>
        <v>1</v>
      </c>
      <c r="G313" s="81">
        <f t="shared" si="202"/>
        <v>1</v>
      </c>
      <c r="H313" s="81">
        <f t="shared" si="202"/>
        <v>1</v>
      </c>
      <c r="I313" s="81">
        <f t="shared" si="202"/>
        <v>1</v>
      </c>
      <c r="J313" s="81">
        <f t="shared" si="202"/>
        <v>1</v>
      </c>
      <c r="K313" s="81">
        <f t="shared" si="202"/>
        <v>1</v>
      </c>
      <c r="L313" s="81">
        <f t="shared" si="202"/>
        <v>1</v>
      </c>
      <c r="M313" s="81">
        <f t="shared" si="202"/>
        <v>1</v>
      </c>
      <c r="N313" s="81">
        <f t="shared" si="202"/>
        <v>1</v>
      </c>
      <c r="O313" s="81">
        <f t="shared" si="202"/>
        <v>1</v>
      </c>
      <c r="P313" s="81">
        <f t="shared" si="202"/>
        <v>1</v>
      </c>
      <c r="Q313" s="81">
        <f t="shared" si="202"/>
        <v>1</v>
      </c>
      <c r="R313" s="14">
        <f t="shared" si="191"/>
        <v>0</v>
      </c>
      <c r="S313" s="14">
        <f>IF(N301=0,0,R313/$R$317)</f>
        <v>0</v>
      </c>
      <c r="T313" s="14">
        <f t="shared" si="192"/>
        <v>0</v>
      </c>
    </row>
    <row r="314" spans="1:20" x14ac:dyDescent="0.35">
      <c r="A314" s="44">
        <f>'Data Kriteria'!N18</f>
        <v>1</v>
      </c>
      <c r="B314" s="30">
        <f>'Data Kriteria'!B18</f>
        <v>0</v>
      </c>
      <c r="C314" s="81">
        <f>IF(OR(C300=1,$A$314=1),1,$A$314/C300)</f>
        <v>1</v>
      </c>
      <c r="D314" s="81">
        <f t="shared" ref="D314:Q314" si="203">IF(OR(D300=1,$A$314=1),1,$A$314/D300)</f>
        <v>1</v>
      </c>
      <c r="E314" s="81">
        <f t="shared" si="203"/>
        <v>1</v>
      </c>
      <c r="F314" s="81">
        <f t="shared" si="203"/>
        <v>1</v>
      </c>
      <c r="G314" s="81">
        <f t="shared" si="203"/>
        <v>1</v>
      </c>
      <c r="H314" s="81">
        <f t="shared" si="203"/>
        <v>1</v>
      </c>
      <c r="I314" s="81">
        <f t="shared" si="203"/>
        <v>1</v>
      </c>
      <c r="J314" s="81">
        <f t="shared" si="203"/>
        <v>1</v>
      </c>
      <c r="K314" s="81">
        <f t="shared" si="203"/>
        <v>1</v>
      </c>
      <c r="L314" s="81">
        <f t="shared" si="203"/>
        <v>1</v>
      </c>
      <c r="M314" s="81">
        <f t="shared" si="203"/>
        <v>1</v>
      </c>
      <c r="N314" s="81">
        <f t="shared" si="203"/>
        <v>1</v>
      </c>
      <c r="O314" s="81">
        <f t="shared" si="203"/>
        <v>1</v>
      </c>
      <c r="P314" s="81">
        <f t="shared" si="203"/>
        <v>1</v>
      </c>
      <c r="Q314" s="81">
        <f t="shared" si="203"/>
        <v>1</v>
      </c>
      <c r="R314" s="14">
        <f t="shared" si="191"/>
        <v>0</v>
      </c>
      <c r="S314" s="14">
        <f>IF(O301=0,0,R314/$R$317)</f>
        <v>0</v>
      </c>
      <c r="T314" s="14">
        <f t="shared" si="192"/>
        <v>0</v>
      </c>
    </row>
    <row r="315" spans="1:20" x14ac:dyDescent="0.35">
      <c r="A315" s="44">
        <f>'Data Kriteria'!N19</f>
        <v>1</v>
      </c>
      <c r="B315" s="30">
        <f>'Data Kriteria'!B19</f>
        <v>0</v>
      </c>
      <c r="C315" s="81">
        <f>IF(OR(C300=1,$A$315=1),1,$A$315/C300)</f>
        <v>1</v>
      </c>
      <c r="D315" s="81">
        <f t="shared" ref="D315:Q315" si="204">IF(OR(D300=1,$A$315=1),1,$A$315/D300)</f>
        <v>1</v>
      </c>
      <c r="E315" s="81">
        <f t="shared" si="204"/>
        <v>1</v>
      </c>
      <c r="F315" s="81">
        <f t="shared" si="204"/>
        <v>1</v>
      </c>
      <c r="G315" s="81">
        <f t="shared" si="204"/>
        <v>1</v>
      </c>
      <c r="H315" s="81">
        <f t="shared" si="204"/>
        <v>1</v>
      </c>
      <c r="I315" s="81">
        <f t="shared" si="204"/>
        <v>1</v>
      </c>
      <c r="J315" s="81">
        <f t="shared" si="204"/>
        <v>1</v>
      </c>
      <c r="K315" s="81">
        <f t="shared" si="204"/>
        <v>1</v>
      </c>
      <c r="L315" s="81">
        <f t="shared" si="204"/>
        <v>1</v>
      </c>
      <c r="M315" s="81">
        <f t="shared" si="204"/>
        <v>1</v>
      </c>
      <c r="N315" s="81">
        <f t="shared" si="204"/>
        <v>1</v>
      </c>
      <c r="O315" s="81">
        <f t="shared" si="204"/>
        <v>1</v>
      </c>
      <c r="P315" s="81">
        <f t="shared" si="204"/>
        <v>1</v>
      </c>
      <c r="Q315" s="81">
        <f t="shared" si="204"/>
        <v>1</v>
      </c>
      <c r="R315" s="14">
        <f t="shared" si="191"/>
        <v>0</v>
      </c>
      <c r="S315" s="14">
        <f>IF(P301=0,0,R315/$R$317)</f>
        <v>0</v>
      </c>
      <c r="T315" s="14">
        <f t="shared" si="192"/>
        <v>0</v>
      </c>
    </row>
    <row r="316" spans="1:20" x14ac:dyDescent="0.35">
      <c r="A316" s="44">
        <f>'Data Kriteria'!N20</f>
        <v>1</v>
      </c>
      <c r="B316" s="30">
        <f>'Data Kriteria'!B20</f>
        <v>0</v>
      </c>
      <c r="C316" s="81">
        <f>IF(OR(C300=1,$A$316=1),1,$A$316/C300)</f>
        <v>1</v>
      </c>
      <c r="D316" s="81">
        <f t="shared" ref="D316:Q316" si="205">IF(OR(D300=1,$A$316=1),1,$A$316/D300)</f>
        <v>1</v>
      </c>
      <c r="E316" s="81">
        <f t="shared" si="205"/>
        <v>1</v>
      </c>
      <c r="F316" s="81">
        <f t="shared" si="205"/>
        <v>1</v>
      </c>
      <c r="G316" s="81">
        <f t="shared" si="205"/>
        <v>1</v>
      </c>
      <c r="H316" s="81">
        <f t="shared" si="205"/>
        <v>1</v>
      </c>
      <c r="I316" s="81">
        <f t="shared" si="205"/>
        <v>1</v>
      </c>
      <c r="J316" s="81">
        <f t="shared" si="205"/>
        <v>1</v>
      </c>
      <c r="K316" s="81">
        <f t="shared" si="205"/>
        <v>1</v>
      </c>
      <c r="L316" s="81">
        <f t="shared" si="205"/>
        <v>1</v>
      </c>
      <c r="M316" s="81">
        <f t="shared" si="205"/>
        <v>1</v>
      </c>
      <c r="N316" s="81">
        <f t="shared" si="205"/>
        <v>1</v>
      </c>
      <c r="O316" s="81">
        <f t="shared" si="205"/>
        <v>1</v>
      </c>
      <c r="P316" s="81">
        <f t="shared" si="205"/>
        <v>1</v>
      </c>
      <c r="Q316" s="81">
        <f t="shared" si="205"/>
        <v>1</v>
      </c>
      <c r="R316" s="14">
        <f t="shared" si="191"/>
        <v>0</v>
      </c>
      <c r="S316" s="14">
        <f>IF(Q301=0,0,R316/$R$317)</f>
        <v>0</v>
      </c>
      <c r="T316" s="14">
        <f t="shared" si="192"/>
        <v>0</v>
      </c>
    </row>
    <row r="317" spans="1:20" x14ac:dyDescent="0.35">
      <c r="R317" s="14">
        <f>SUM(R302:R316)</f>
        <v>0</v>
      </c>
      <c r="S317" s="14">
        <f>SUM(S302:S316)</f>
        <v>0</v>
      </c>
      <c r="T317" s="15">
        <f>MAX(T302:T316)</f>
        <v>0</v>
      </c>
    </row>
    <row r="319" spans="1:20" ht="15" thickBot="1" x14ac:dyDescent="0.4">
      <c r="S319" s="5" t="s">
        <v>49</v>
      </c>
      <c r="T319" s="16">
        <f>T317</f>
        <v>0</v>
      </c>
    </row>
    <row r="320" spans="1:20" ht="15" thickBot="1" x14ac:dyDescent="0.4">
      <c r="B320" s="4" t="s">
        <v>38</v>
      </c>
      <c r="C320" s="4"/>
      <c r="D320" s="4"/>
      <c r="E320" s="51">
        <f>E293</f>
        <v>0</v>
      </c>
      <c r="S320" s="6" t="s">
        <v>39</v>
      </c>
      <c r="T320" s="3">
        <f>(T319-15)/(15-1)</f>
        <v>-1.0714285714285714</v>
      </c>
    </row>
    <row r="321" spans="1:20" x14ac:dyDescent="0.35">
      <c r="S321" s="6" t="s">
        <v>40</v>
      </c>
      <c r="T321" s="57" t="b">
        <f>IF(E320=E322,E323,IF(E320=F322,F323,IF(E320=G322,G323,IF(E320=H322,H323,IF(E320=I322,I323,IF(E320=J322,J323,IF(E320=K322,K323,IF(E320=L322,L323,IF(E320=M322,M323,IF(E320=N322,N323,IF(E320=O322,O323,IF(E320=P322,P323,IF(E320=Q322,Q323)))))))))))))</f>
        <v>0</v>
      </c>
    </row>
    <row r="322" spans="1:20" x14ac:dyDescent="0.35">
      <c r="B322" s="2" t="s">
        <v>41</v>
      </c>
      <c r="C322" s="2">
        <v>1</v>
      </c>
      <c r="D322" s="2">
        <v>2</v>
      </c>
      <c r="E322" s="2">
        <v>3</v>
      </c>
      <c r="F322" s="2">
        <v>4</v>
      </c>
      <c r="G322" s="2">
        <v>5</v>
      </c>
      <c r="H322" s="2">
        <v>6</v>
      </c>
      <c r="I322" s="2">
        <v>7</v>
      </c>
      <c r="J322" s="2">
        <v>8</v>
      </c>
      <c r="K322" s="2">
        <v>9</v>
      </c>
      <c r="L322" s="2">
        <v>10</v>
      </c>
      <c r="M322" s="2">
        <v>11</v>
      </c>
      <c r="N322" s="2">
        <v>12</v>
      </c>
      <c r="O322" s="2">
        <v>13</v>
      </c>
      <c r="P322" s="2">
        <v>14</v>
      </c>
      <c r="Q322" s="2">
        <v>15</v>
      </c>
      <c r="S322" s="6" t="s">
        <v>42</v>
      </c>
      <c r="T322" s="16" t="e">
        <f>T320/T321</f>
        <v>#DIV/0!</v>
      </c>
    </row>
    <row r="323" spans="1:20" x14ac:dyDescent="0.35">
      <c r="B323" s="2" t="s">
        <v>40</v>
      </c>
      <c r="C323" s="87">
        <v>0</v>
      </c>
      <c r="D323" s="87">
        <v>0</v>
      </c>
      <c r="E323" s="87">
        <v>0.57999999999999996</v>
      </c>
      <c r="F323" s="87">
        <v>0.9</v>
      </c>
      <c r="G323" s="87">
        <v>1.1200000000000001</v>
      </c>
      <c r="H323" s="87">
        <v>1.24</v>
      </c>
      <c r="I323" s="87">
        <v>1.32</v>
      </c>
      <c r="J323" s="87">
        <v>1.41</v>
      </c>
      <c r="K323" s="87">
        <v>1.45</v>
      </c>
      <c r="L323" s="87">
        <v>1.49</v>
      </c>
      <c r="M323" s="87">
        <v>1.51</v>
      </c>
      <c r="N323" s="87">
        <v>1.54</v>
      </c>
      <c r="O323" s="87">
        <v>1.56</v>
      </c>
      <c r="P323" s="87">
        <v>1.57</v>
      </c>
      <c r="Q323" s="87">
        <v>1.58</v>
      </c>
    </row>
    <row r="324" spans="1:20" x14ac:dyDescent="0.35">
      <c r="S324" s="6" t="s">
        <v>43</v>
      </c>
      <c r="T324" s="1" t="s">
        <v>44</v>
      </c>
    </row>
    <row r="325" spans="1:20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x14ac:dyDescent="0.35">
      <c r="A326" s="46" t="s">
        <v>46</v>
      </c>
      <c r="B326" s="88">
        <f>'Data Kriteria'!O5</f>
        <v>0</v>
      </c>
    </row>
    <row r="327" spans="1:20" x14ac:dyDescent="0.35">
      <c r="C327" s="44" cm="1">
        <f t="array" ref="C327:Q327">TRANSPOSE(A329:A343)</f>
        <v>1</v>
      </c>
      <c r="D327" s="44">
        <v>1</v>
      </c>
      <c r="E327" s="44">
        <v>1</v>
      </c>
      <c r="F327" s="44">
        <v>1</v>
      </c>
      <c r="G327" s="44">
        <v>1</v>
      </c>
      <c r="H327" s="44">
        <v>1</v>
      </c>
      <c r="I327" s="44">
        <v>1</v>
      </c>
      <c r="J327" s="44">
        <v>1</v>
      </c>
      <c r="K327" s="44">
        <v>1</v>
      </c>
      <c r="L327" s="44">
        <v>1</v>
      </c>
      <c r="M327" s="44">
        <v>1</v>
      </c>
      <c r="N327" s="44">
        <v>1</v>
      </c>
      <c r="O327" s="44">
        <v>1</v>
      </c>
      <c r="P327" s="44">
        <v>1</v>
      </c>
      <c r="Q327" s="44">
        <v>1</v>
      </c>
    </row>
    <row r="328" spans="1:20" x14ac:dyDescent="0.35">
      <c r="B328" s="83">
        <v>13</v>
      </c>
      <c r="C328" s="30" cm="1">
        <f t="array" ref="C328:Q328">TRANSPOSE(B329:B343)</f>
        <v>0</v>
      </c>
      <c r="D328" s="30">
        <v>0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86" t="s">
        <v>47</v>
      </c>
      <c r="S328" s="45" t="s">
        <v>35</v>
      </c>
      <c r="T328" s="45" t="s">
        <v>48</v>
      </c>
    </row>
    <row r="329" spans="1:20" x14ac:dyDescent="0.35">
      <c r="A329" s="44">
        <f>'Data Kriteria'!O6</f>
        <v>1</v>
      </c>
      <c r="B329" s="30">
        <f>'Data Kriteria'!B6</f>
        <v>0</v>
      </c>
      <c r="C329" s="81">
        <f>IF(OR(C327=1,$A$329=1),1,$A$329/C327)</f>
        <v>1</v>
      </c>
      <c r="D329" s="81">
        <f t="shared" ref="D329:Q329" si="206">IF(OR(D327=1,$A$329=1),1,$A$329/D327)</f>
        <v>1</v>
      </c>
      <c r="E329" s="81">
        <f t="shared" si="206"/>
        <v>1</v>
      </c>
      <c r="F329" s="81">
        <f t="shared" si="206"/>
        <v>1</v>
      </c>
      <c r="G329" s="81">
        <f t="shared" si="206"/>
        <v>1</v>
      </c>
      <c r="H329" s="81">
        <f t="shared" si="206"/>
        <v>1</v>
      </c>
      <c r="I329" s="81">
        <f t="shared" si="206"/>
        <v>1</v>
      </c>
      <c r="J329" s="81">
        <f t="shared" si="206"/>
        <v>1</v>
      </c>
      <c r="K329" s="81">
        <f t="shared" si="206"/>
        <v>1</v>
      </c>
      <c r="L329" s="81">
        <f t="shared" si="206"/>
        <v>1</v>
      </c>
      <c r="M329" s="81">
        <f t="shared" si="206"/>
        <v>1</v>
      </c>
      <c r="N329" s="81">
        <f t="shared" si="206"/>
        <v>1</v>
      </c>
      <c r="O329" s="81">
        <f t="shared" si="206"/>
        <v>1</v>
      </c>
      <c r="P329" s="81">
        <f t="shared" si="206"/>
        <v>1</v>
      </c>
      <c r="Q329" s="81">
        <f t="shared" si="206"/>
        <v>1</v>
      </c>
      <c r="R329" s="14">
        <f>IF(A329=1,0,(C329*D329*E329*F329*G329*H329*I329*J329*K329*L329*M329*N329*O329*P329*Q329)^(1/$E$347))</f>
        <v>0</v>
      </c>
      <c r="S329" s="14">
        <f>IF(C328=0,0,R329/$R$344)</f>
        <v>0</v>
      </c>
      <c r="T329" s="14">
        <f>IF(A329=1,0,(C329*$S$113+D329*$S$114+E329*$S$115+F329*$S$116+G329*$S$117+H329*$S$118+I329*$S$119+J329*$S$120+K329*$S$121+L329*$S$122+M329*$S$123+N329*$S$124+O329*$S$125+P329*$S$126+Q329*$S$127)/S329)</f>
        <v>0</v>
      </c>
    </row>
    <row r="330" spans="1:20" x14ac:dyDescent="0.35">
      <c r="A330" s="44">
        <f>'Data Kriteria'!O7</f>
        <v>1</v>
      </c>
      <c r="B330" s="30">
        <f>'Data Kriteria'!B7</f>
        <v>0</v>
      </c>
      <c r="C330" s="81">
        <f>IF(OR(C327=1,$A$330=1),1,$A$330/C327)</f>
        <v>1</v>
      </c>
      <c r="D330" s="81">
        <f t="shared" ref="D330:Q330" si="207">IF(OR(D327=1,$A$330=1),1,$A$330/D327)</f>
        <v>1</v>
      </c>
      <c r="E330" s="81">
        <f t="shared" si="207"/>
        <v>1</v>
      </c>
      <c r="F330" s="81">
        <f t="shared" si="207"/>
        <v>1</v>
      </c>
      <c r="G330" s="81">
        <f t="shared" si="207"/>
        <v>1</v>
      </c>
      <c r="H330" s="81">
        <f t="shared" si="207"/>
        <v>1</v>
      </c>
      <c r="I330" s="81">
        <f t="shared" si="207"/>
        <v>1</v>
      </c>
      <c r="J330" s="81">
        <f t="shared" si="207"/>
        <v>1</v>
      </c>
      <c r="K330" s="81">
        <f t="shared" si="207"/>
        <v>1</v>
      </c>
      <c r="L330" s="81">
        <f t="shared" si="207"/>
        <v>1</v>
      </c>
      <c r="M330" s="81">
        <f t="shared" si="207"/>
        <v>1</v>
      </c>
      <c r="N330" s="81">
        <f t="shared" si="207"/>
        <v>1</v>
      </c>
      <c r="O330" s="81">
        <f t="shared" si="207"/>
        <v>1</v>
      </c>
      <c r="P330" s="81">
        <f t="shared" si="207"/>
        <v>1</v>
      </c>
      <c r="Q330" s="81">
        <f t="shared" si="207"/>
        <v>1</v>
      </c>
      <c r="R330" s="14">
        <f t="shared" ref="R330:R343" si="208">IF(A330=1,0,(C330*D330*E330*F330*G330*H330*I330*J330*K330*L330*M330*N330*O330*P330*Q330)^(1/$E$347))</f>
        <v>0</v>
      </c>
      <c r="S330" s="14">
        <f>IF(D328=0,0,R330/$R$344)</f>
        <v>0</v>
      </c>
      <c r="T330" s="14">
        <f t="shared" ref="T330:T343" si="209">IF(A330=1,0,(C330*$S$113+D330*$S$114+E330*$S$115+F330*$S$116+G330*$S$117+H330*$S$118+I330*$S$119+J330*$S$120+K330*$S$121+L330*$S$122+M330*$S$123+N330*$S$124+O330*$S$125+P330*$S$126+Q330*$S$127)/S330)</f>
        <v>0</v>
      </c>
    </row>
    <row r="331" spans="1:20" x14ac:dyDescent="0.35">
      <c r="A331" s="44">
        <f>'Data Kriteria'!O8</f>
        <v>1</v>
      </c>
      <c r="B331" s="30">
        <f>'Data Kriteria'!B8</f>
        <v>0</v>
      </c>
      <c r="C331" s="81">
        <f>IF(OR(C327=1,$A$331=1),1,$A$331/C327)</f>
        <v>1</v>
      </c>
      <c r="D331" s="81">
        <f t="shared" ref="D331:Q331" si="210">IF(OR(D327=1,$A$331=1),1,$A$331/D327)</f>
        <v>1</v>
      </c>
      <c r="E331" s="81">
        <f t="shared" si="210"/>
        <v>1</v>
      </c>
      <c r="F331" s="81">
        <f t="shared" si="210"/>
        <v>1</v>
      </c>
      <c r="G331" s="81">
        <f t="shared" si="210"/>
        <v>1</v>
      </c>
      <c r="H331" s="81">
        <f t="shared" si="210"/>
        <v>1</v>
      </c>
      <c r="I331" s="81">
        <f t="shared" si="210"/>
        <v>1</v>
      </c>
      <c r="J331" s="81">
        <f t="shared" si="210"/>
        <v>1</v>
      </c>
      <c r="K331" s="81">
        <f t="shared" si="210"/>
        <v>1</v>
      </c>
      <c r="L331" s="81">
        <f t="shared" si="210"/>
        <v>1</v>
      </c>
      <c r="M331" s="81">
        <f t="shared" si="210"/>
        <v>1</v>
      </c>
      <c r="N331" s="81">
        <f t="shared" si="210"/>
        <v>1</v>
      </c>
      <c r="O331" s="81">
        <f t="shared" si="210"/>
        <v>1</v>
      </c>
      <c r="P331" s="81">
        <f t="shared" si="210"/>
        <v>1</v>
      </c>
      <c r="Q331" s="81">
        <f t="shared" si="210"/>
        <v>1</v>
      </c>
      <c r="R331" s="14">
        <f t="shared" si="208"/>
        <v>0</v>
      </c>
      <c r="S331" s="14">
        <f>IF(E328=0,0,R331/$R$344)</f>
        <v>0</v>
      </c>
      <c r="T331" s="14">
        <f t="shared" si="209"/>
        <v>0</v>
      </c>
    </row>
    <row r="332" spans="1:20" x14ac:dyDescent="0.35">
      <c r="A332" s="44">
        <f>'Data Kriteria'!O9</f>
        <v>1</v>
      </c>
      <c r="B332" s="30">
        <f>'Data Kriteria'!B9</f>
        <v>0</v>
      </c>
      <c r="C332" s="81">
        <f>IF(OR(C327=1,$A$332=1),1,$A$332/C327)</f>
        <v>1</v>
      </c>
      <c r="D332" s="81">
        <f t="shared" ref="D332:Q332" si="211">IF(OR(D327=1,$A$332=1),1,$A$332/D327)</f>
        <v>1</v>
      </c>
      <c r="E332" s="81">
        <f t="shared" si="211"/>
        <v>1</v>
      </c>
      <c r="F332" s="81">
        <f t="shared" si="211"/>
        <v>1</v>
      </c>
      <c r="G332" s="81">
        <f t="shared" si="211"/>
        <v>1</v>
      </c>
      <c r="H332" s="81">
        <f t="shared" si="211"/>
        <v>1</v>
      </c>
      <c r="I332" s="81">
        <f t="shared" si="211"/>
        <v>1</v>
      </c>
      <c r="J332" s="81">
        <f t="shared" si="211"/>
        <v>1</v>
      </c>
      <c r="K332" s="81">
        <f t="shared" si="211"/>
        <v>1</v>
      </c>
      <c r="L332" s="81">
        <f t="shared" si="211"/>
        <v>1</v>
      </c>
      <c r="M332" s="81">
        <f t="shared" si="211"/>
        <v>1</v>
      </c>
      <c r="N332" s="81">
        <f t="shared" si="211"/>
        <v>1</v>
      </c>
      <c r="O332" s="81">
        <f t="shared" si="211"/>
        <v>1</v>
      </c>
      <c r="P332" s="81">
        <f t="shared" si="211"/>
        <v>1</v>
      </c>
      <c r="Q332" s="81">
        <f t="shared" si="211"/>
        <v>1</v>
      </c>
      <c r="R332" s="14">
        <f t="shared" si="208"/>
        <v>0</v>
      </c>
      <c r="S332" s="14">
        <f>IF(F328=0,0,R332/$R$344)</f>
        <v>0</v>
      </c>
      <c r="T332" s="14">
        <f t="shared" si="209"/>
        <v>0</v>
      </c>
    </row>
    <row r="333" spans="1:20" x14ac:dyDescent="0.35">
      <c r="A333" s="44">
        <f>'Data Kriteria'!O10</f>
        <v>1</v>
      </c>
      <c r="B333" s="30">
        <f>'Data Kriteria'!B10</f>
        <v>0</v>
      </c>
      <c r="C333" s="81">
        <f>IF(OR(C327=1,$A$333=1),1,$A$333/C327)</f>
        <v>1</v>
      </c>
      <c r="D333" s="81">
        <f t="shared" ref="D333:Q333" si="212">IF(OR(D327=1,$A$333=1),1,$A$333/D327)</f>
        <v>1</v>
      </c>
      <c r="E333" s="81">
        <f t="shared" si="212"/>
        <v>1</v>
      </c>
      <c r="F333" s="81">
        <f t="shared" si="212"/>
        <v>1</v>
      </c>
      <c r="G333" s="81">
        <f t="shared" si="212"/>
        <v>1</v>
      </c>
      <c r="H333" s="81">
        <f t="shared" si="212"/>
        <v>1</v>
      </c>
      <c r="I333" s="81">
        <f t="shared" si="212"/>
        <v>1</v>
      </c>
      <c r="J333" s="81">
        <f t="shared" si="212"/>
        <v>1</v>
      </c>
      <c r="K333" s="81">
        <f t="shared" si="212"/>
        <v>1</v>
      </c>
      <c r="L333" s="81">
        <f t="shared" si="212"/>
        <v>1</v>
      </c>
      <c r="M333" s="81">
        <f t="shared" si="212"/>
        <v>1</v>
      </c>
      <c r="N333" s="81">
        <f t="shared" si="212"/>
        <v>1</v>
      </c>
      <c r="O333" s="81">
        <f t="shared" si="212"/>
        <v>1</v>
      </c>
      <c r="P333" s="81">
        <f t="shared" si="212"/>
        <v>1</v>
      </c>
      <c r="Q333" s="81">
        <f t="shared" si="212"/>
        <v>1</v>
      </c>
      <c r="R333" s="14">
        <f t="shared" si="208"/>
        <v>0</v>
      </c>
      <c r="S333" s="14">
        <f>IF(G328=0,0,R333/$R$344)</f>
        <v>0</v>
      </c>
      <c r="T333" s="14">
        <f t="shared" si="209"/>
        <v>0</v>
      </c>
    </row>
    <row r="334" spans="1:20" x14ac:dyDescent="0.35">
      <c r="A334" s="44">
        <f>'Data Kriteria'!O11</f>
        <v>1</v>
      </c>
      <c r="B334" s="30">
        <f>'Data Kriteria'!B11</f>
        <v>0</v>
      </c>
      <c r="C334" s="81">
        <f>IF(OR(C327=1,$A$334=1),1,$A$334/C327)</f>
        <v>1</v>
      </c>
      <c r="D334" s="81">
        <f t="shared" ref="D334:Q334" si="213">IF(OR(D327=1,$A$334=1),1,$A$334/D327)</f>
        <v>1</v>
      </c>
      <c r="E334" s="81">
        <f t="shared" si="213"/>
        <v>1</v>
      </c>
      <c r="F334" s="81">
        <f t="shared" si="213"/>
        <v>1</v>
      </c>
      <c r="G334" s="81">
        <f t="shared" si="213"/>
        <v>1</v>
      </c>
      <c r="H334" s="81">
        <f t="shared" si="213"/>
        <v>1</v>
      </c>
      <c r="I334" s="81">
        <f t="shared" si="213"/>
        <v>1</v>
      </c>
      <c r="J334" s="81">
        <f t="shared" si="213"/>
        <v>1</v>
      </c>
      <c r="K334" s="81">
        <f t="shared" si="213"/>
        <v>1</v>
      </c>
      <c r="L334" s="81">
        <f t="shared" si="213"/>
        <v>1</v>
      </c>
      <c r="M334" s="81">
        <f t="shared" si="213"/>
        <v>1</v>
      </c>
      <c r="N334" s="81">
        <f t="shared" si="213"/>
        <v>1</v>
      </c>
      <c r="O334" s="81">
        <f t="shared" si="213"/>
        <v>1</v>
      </c>
      <c r="P334" s="81">
        <f t="shared" si="213"/>
        <v>1</v>
      </c>
      <c r="Q334" s="81">
        <f t="shared" si="213"/>
        <v>1</v>
      </c>
      <c r="R334" s="14">
        <f t="shared" si="208"/>
        <v>0</v>
      </c>
      <c r="S334" s="14">
        <f>IF(H328=0,0,R334/$R$344)</f>
        <v>0</v>
      </c>
      <c r="T334" s="14">
        <f t="shared" si="209"/>
        <v>0</v>
      </c>
    </row>
    <row r="335" spans="1:20" x14ac:dyDescent="0.35">
      <c r="A335" s="44">
        <f>'Data Kriteria'!O12</f>
        <v>1</v>
      </c>
      <c r="B335" s="30">
        <f>'Data Kriteria'!B12</f>
        <v>0</v>
      </c>
      <c r="C335" s="81">
        <f>IF(OR(C327=1,$A$335=1),1,$A$335/C327)</f>
        <v>1</v>
      </c>
      <c r="D335" s="81">
        <f t="shared" ref="D335:Q335" si="214">IF(OR(D327=1,$A$335=1),1,$A$335/D327)</f>
        <v>1</v>
      </c>
      <c r="E335" s="81">
        <f t="shared" si="214"/>
        <v>1</v>
      </c>
      <c r="F335" s="81">
        <f t="shared" si="214"/>
        <v>1</v>
      </c>
      <c r="G335" s="81">
        <f t="shared" si="214"/>
        <v>1</v>
      </c>
      <c r="H335" s="81">
        <f t="shared" si="214"/>
        <v>1</v>
      </c>
      <c r="I335" s="81">
        <f t="shared" si="214"/>
        <v>1</v>
      </c>
      <c r="J335" s="81">
        <f t="shared" si="214"/>
        <v>1</v>
      </c>
      <c r="K335" s="81">
        <f t="shared" si="214"/>
        <v>1</v>
      </c>
      <c r="L335" s="81">
        <f t="shared" si="214"/>
        <v>1</v>
      </c>
      <c r="M335" s="81">
        <f t="shared" si="214"/>
        <v>1</v>
      </c>
      <c r="N335" s="81">
        <f t="shared" si="214"/>
        <v>1</v>
      </c>
      <c r="O335" s="81">
        <f t="shared" si="214"/>
        <v>1</v>
      </c>
      <c r="P335" s="81">
        <f t="shared" si="214"/>
        <v>1</v>
      </c>
      <c r="Q335" s="81">
        <f t="shared" si="214"/>
        <v>1</v>
      </c>
      <c r="R335" s="14">
        <f t="shared" si="208"/>
        <v>0</v>
      </c>
      <c r="S335" s="14">
        <f>IF(I328=0,0,R335/$R$344)</f>
        <v>0</v>
      </c>
      <c r="T335" s="14">
        <f t="shared" si="209"/>
        <v>0</v>
      </c>
    </row>
    <row r="336" spans="1:20" x14ac:dyDescent="0.35">
      <c r="A336" s="44">
        <f>'Data Kriteria'!O13</f>
        <v>1</v>
      </c>
      <c r="B336" s="30">
        <f>'Data Kriteria'!B13</f>
        <v>0</v>
      </c>
      <c r="C336" s="81">
        <f>IF(OR(C327=1,$A$336=1),1,$A$336/C327)</f>
        <v>1</v>
      </c>
      <c r="D336" s="81">
        <f t="shared" ref="D336:Q336" si="215">IF(OR(D327=1,$A$336=1),1,$A$336/D327)</f>
        <v>1</v>
      </c>
      <c r="E336" s="81">
        <f t="shared" si="215"/>
        <v>1</v>
      </c>
      <c r="F336" s="81">
        <f t="shared" si="215"/>
        <v>1</v>
      </c>
      <c r="G336" s="81">
        <f t="shared" si="215"/>
        <v>1</v>
      </c>
      <c r="H336" s="81">
        <f t="shared" si="215"/>
        <v>1</v>
      </c>
      <c r="I336" s="81">
        <f t="shared" si="215"/>
        <v>1</v>
      </c>
      <c r="J336" s="81">
        <f t="shared" si="215"/>
        <v>1</v>
      </c>
      <c r="K336" s="81">
        <f t="shared" si="215"/>
        <v>1</v>
      </c>
      <c r="L336" s="81">
        <f t="shared" si="215"/>
        <v>1</v>
      </c>
      <c r="M336" s="81">
        <f t="shared" si="215"/>
        <v>1</v>
      </c>
      <c r="N336" s="81">
        <f t="shared" si="215"/>
        <v>1</v>
      </c>
      <c r="O336" s="81">
        <f t="shared" si="215"/>
        <v>1</v>
      </c>
      <c r="P336" s="81">
        <f t="shared" si="215"/>
        <v>1</v>
      </c>
      <c r="Q336" s="81">
        <f t="shared" si="215"/>
        <v>1</v>
      </c>
      <c r="R336" s="14">
        <f t="shared" si="208"/>
        <v>0</v>
      </c>
      <c r="S336" s="14">
        <f>IF(J328=0,0,R336/$R$344)</f>
        <v>0</v>
      </c>
      <c r="T336" s="14">
        <f t="shared" si="209"/>
        <v>0</v>
      </c>
    </row>
    <row r="337" spans="1:20" x14ac:dyDescent="0.35">
      <c r="A337" s="44">
        <f>'Data Kriteria'!O14</f>
        <v>1</v>
      </c>
      <c r="B337" s="30">
        <f>'Data Kriteria'!B14</f>
        <v>0</v>
      </c>
      <c r="C337" s="81">
        <f t="shared" ref="C337:Q337" si="216">IF(OR(C327=1,$A$337=1),1,$A$337/C327)</f>
        <v>1</v>
      </c>
      <c r="D337" s="81">
        <f t="shared" si="216"/>
        <v>1</v>
      </c>
      <c r="E337" s="81">
        <f t="shared" si="216"/>
        <v>1</v>
      </c>
      <c r="F337" s="81">
        <f t="shared" si="216"/>
        <v>1</v>
      </c>
      <c r="G337" s="81">
        <f t="shared" si="216"/>
        <v>1</v>
      </c>
      <c r="H337" s="81">
        <f t="shared" si="216"/>
        <v>1</v>
      </c>
      <c r="I337" s="81">
        <f t="shared" si="216"/>
        <v>1</v>
      </c>
      <c r="J337" s="81">
        <f t="shared" si="216"/>
        <v>1</v>
      </c>
      <c r="K337" s="81">
        <f t="shared" si="216"/>
        <v>1</v>
      </c>
      <c r="L337" s="81">
        <f t="shared" si="216"/>
        <v>1</v>
      </c>
      <c r="M337" s="81">
        <f t="shared" si="216"/>
        <v>1</v>
      </c>
      <c r="N337" s="81">
        <f t="shared" si="216"/>
        <v>1</v>
      </c>
      <c r="O337" s="81">
        <f t="shared" si="216"/>
        <v>1</v>
      </c>
      <c r="P337" s="81">
        <f t="shared" si="216"/>
        <v>1</v>
      </c>
      <c r="Q337" s="81">
        <f t="shared" si="216"/>
        <v>1</v>
      </c>
      <c r="R337" s="14">
        <f t="shared" si="208"/>
        <v>0</v>
      </c>
      <c r="S337" s="14">
        <f>IF(K328=0,0,R337/$R$344)</f>
        <v>0</v>
      </c>
      <c r="T337" s="14">
        <f t="shared" si="209"/>
        <v>0</v>
      </c>
    </row>
    <row r="338" spans="1:20" x14ac:dyDescent="0.35">
      <c r="A338" s="44">
        <f>'Data Kriteria'!O15</f>
        <v>1</v>
      </c>
      <c r="B338" s="30">
        <f>'Data Kriteria'!B15</f>
        <v>0</v>
      </c>
      <c r="C338" s="81">
        <f>IF(OR(C327=1,$A$338=1),1,$A$338/C327)</f>
        <v>1</v>
      </c>
      <c r="D338" s="81">
        <f t="shared" ref="D338:Q338" si="217">IF(OR(D327=1,$A$338=1),1,$A$338/D327)</f>
        <v>1</v>
      </c>
      <c r="E338" s="81">
        <f t="shared" si="217"/>
        <v>1</v>
      </c>
      <c r="F338" s="81">
        <f t="shared" si="217"/>
        <v>1</v>
      </c>
      <c r="G338" s="81">
        <f t="shared" si="217"/>
        <v>1</v>
      </c>
      <c r="H338" s="81">
        <f t="shared" si="217"/>
        <v>1</v>
      </c>
      <c r="I338" s="81">
        <f t="shared" si="217"/>
        <v>1</v>
      </c>
      <c r="J338" s="81">
        <f t="shared" si="217"/>
        <v>1</v>
      </c>
      <c r="K338" s="81">
        <f t="shared" si="217"/>
        <v>1</v>
      </c>
      <c r="L338" s="81">
        <f t="shared" si="217"/>
        <v>1</v>
      </c>
      <c r="M338" s="81">
        <f t="shared" si="217"/>
        <v>1</v>
      </c>
      <c r="N338" s="81">
        <f t="shared" si="217"/>
        <v>1</v>
      </c>
      <c r="O338" s="81">
        <f t="shared" si="217"/>
        <v>1</v>
      </c>
      <c r="P338" s="81">
        <f t="shared" si="217"/>
        <v>1</v>
      </c>
      <c r="Q338" s="81">
        <f t="shared" si="217"/>
        <v>1</v>
      </c>
      <c r="R338" s="14">
        <f t="shared" si="208"/>
        <v>0</v>
      </c>
      <c r="S338" s="14">
        <f>IF(L328=0,0,R338/$R$344)</f>
        <v>0</v>
      </c>
      <c r="T338" s="14">
        <f t="shared" si="209"/>
        <v>0</v>
      </c>
    </row>
    <row r="339" spans="1:20" x14ac:dyDescent="0.35">
      <c r="A339" s="44">
        <f>'Data Kriteria'!O16</f>
        <v>1</v>
      </c>
      <c r="B339" s="30">
        <f>'Data Kriteria'!B16</f>
        <v>0</v>
      </c>
      <c r="C339" s="81">
        <f>IF(OR(C327=1,$A$339=1),1,$A$339/C327)</f>
        <v>1</v>
      </c>
      <c r="D339" s="81">
        <f t="shared" ref="D339:Q339" si="218">IF(OR(D327=1,$A$339=1),1,$A$339/D327)</f>
        <v>1</v>
      </c>
      <c r="E339" s="81">
        <f t="shared" si="218"/>
        <v>1</v>
      </c>
      <c r="F339" s="81">
        <f t="shared" si="218"/>
        <v>1</v>
      </c>
      <c r="G339" s="81">
        <f t="shared" si="218"/>
        <v>1</v>
      </c>
      <c r="H339" s="81">
        <f t="shared" si="218"/>
        <v>1</v>
      </c>
      <c r="I339" s="81">
        <f t="shared" si="218"/>
        <v>1</v>
      </c>
      <c r="J339" s="81">
        <f t="shared" si="218"/>
        <v>1</v>
      </c>
      <c r="K339" s="81">
        <f t="shared" si="218"/>
        <v>1</v>
      </c>
      <c r="L339" s="81">
        <f t="shared" si="218"/>
        <v>1</v>
      </c>
      <c r="M339" s="81">
        <f t="shared" si="218"/>
        <v>1</v>
      </c>
      <c r="N339" s="81">
        <f t="shared" si="218"/>
        <v>1</v>
      </c>
      <c r="O339" s="81">
        <f t="shared" si="218"/>
        <v>1</v>
      </c>
      <c r="P339" s="81">
        <f t="shared" si="218"/>
        <v>1</v>
      </c>
      <c r="Q339" s="81">
        <f t="shared" si="218"/>
        <v>1</v>
      </c>
      <c r="R339" s="14">
        <f t="shared" si="208"/>
        <v>0</v>
      </c>
      <c r="S339" s="14">
        <f>IF(M328=0,0,R339/$R$344)</f>
        <v>0</v>
      </c>
      <c r="T339" s="14">
        <f t="shared" si="209"/>
        <v>0</v>
      </c>
    </row>
    <row r="340" spans="1:20" x14ac:dyDescent="0.35">
      <c r="A340" s="44">
        <f>'Data Kriteria'!O17</f>
        <v>1</v>
      </c>
      <c r="B340" s="30">
        <f>'Data Kriteria'!B17</f>
        <v>0</v>
      </c>
      <c r="C340" s="81">
        <f>IF(OR(C327=1,$A$340=1),1,$A$340/C327)</f>
        <v>1</v>
      </c>
      <c r="D340" s="81">
        <f t="shared" ref="D340:Q340" si="219">IF(OR(D327=1,$A$340=1),1,$A$340/D327)</f>
        <v>1</v>
      </c>
      <c r="E340" s="81">
        <f t="shared" si="219"/>
        <v>1</v>
      </c>
      <c r="F340" s="81">
        <f t="shared" si="219"/>
        <v>1</v>
      </c>
      <c r="G340" s="81">
        <f t="shared" si="219"/>
        <v>1</v>
      </c>
      <c r="H340" s="81">
        <f t="shared" si="219"/>
        <v>1</v>
      </c>
      <c r="I340" s="81">
        <f t="shared" si="219"/>
        <v>1</v>
      </c>
      <c r="J340" s="81">
        <f t="shared" si="219"/>
        <v>1</v>
      </c>
      <c r="K340" s="81">
        <f t="shared" si="219"/>
        <v>1</v>
      </c>
      <c r="L340" s="81">
        <f t="shared" si="219"/>
        <v>1</v>
      </c>
      <c r="M340" s="81">
        <f t="shared" si="219"/>
        <v>1</v>
      </c>
      <c r="N340" s="81">
        <f t="shared" si="219"/>
        <v>1</v>
      </c>
      <c r="O340" s="81">
        <f t="shared" si="219"/>
        <v>1</v>
      </c>
      <c r="P340" s="81">
        <f t="shared" si="219"/>
        <v>1</v>
      </c>
      <c r="Q340" s="81">
        <f t="shared" si="219"/>
        <v>1</v>
      </c>
      <c r="R340" s="14">
        <f t="shared" si="208"/>
        <v>0</v>
      </c>
      <c r="S340" s="14">
        <f>IF(N328=0,0,R340/$R$344)</f>
        <v>0</v>
      </c>
      <c r="T340" s="14">
        <f t="shared" si="209"/>
        <v>0</v>
      </c>
    </row>
    <row r="341" spans="1:20" x14ac:dyDescent="0.35">
      <c r="A341" s="44">
        <f>'Data Kriteria'!O18</f>
        <v>1</v>
      </c>
      <c r="B341" s="30">
        <f>'Data Kriteria'!B18</f>
        <v>0</v>
      </c>
      <c r="C341" s="81">
        <f>IF(OR(C327=1,$A$341=1),1,$A$341/C327)</f>
        <v>1</v>
      </c>
      <c r="D341" s="81">
        <f t="shared" ref="D341:Q341" si="220">IF(OR(D327=1,$A$341=1),1,$A$341/D327)</f>
        <v>1</v>
      </c>
      <c r="E341" s="81">
        <f t="shared" si="220"/>
        <v>1</v>
      </c>
      <c r="F341" s="81">
        <f t="shared" si="220"/>
        <v>1</v>
      </c>
      <c r="G341" s="81">
        <f t="shared" si="220"/>
        <v>1</v>
      </c>
      <c r="H341" s="81">
        <f t="shared" si="220"/>
        <v>1</v>
      </c>
      <c r="I341" s="81">
        <f t="shared" si="220"/>
        <v>1</v>
      </c>
      <c r="J341" s="81">
        <f t="shared" si="220"/>
        <v>1</v>
      </c>
      <c r="K341" s="81">
        <f t="shared" si="220"/>
        <v>1</v>
      </c>
      <c r="L341" s="81">
        <f t="shared" si="220"/>
        <v>1</v>
      </c>
      <c r="M341" s="81">
        <f t="shared" si="220"/>
        <v>1</v>
      </c>
      <c r="N341" s="81">
        <f t="shared" si="220"/>
        <v>1</v>
      </c>
      <c r="O341" s="81">
        <f t="shared" si="220"/>
        <v>1</v>
      </c>
      <c r="P341" s="81">
        <f t="shared" si="220"/>
        <v>1</v>
      </c>
      <c r="Q341" s="81">
        <f t="shared" si="220"/>
        <v>1</v>
      </c>
      <c r="R341" s="14">
        <f t="shared" si="208"/>
        <v>0</v>
      </c>
      <c r="S341" s="14">
        <f>IF(O328=0,0,R341/$R$344)</f>
        <v>0</v>
      </c>
      <c r="T341" s="14">
        <f t="shared" si="209"/>
        <v>0</v>
      </c>
    </row>
    <row r="342" spans="1:20" x14ac:dyDescent="0.35">
      <c r="A342" s="44">
        <f>'Data Kriteria'!O19</f>
        <v>1</v>
      </c>
      <c r="B342" s="30">
        <f>'Data Kriteria'!B19</f>
        <v>0</v>
      </c>
      <c r="C342" s="81">
        <f>IF(OR(C327=1,$A$342=1),1,$A$342/C327)</f>
        <v>1</v>
      </c>
      <c r="D342" s="81">
        <f t="shared" ref="D342:Q342" si="221">IF(OR(D327=1,$A$342=1),1,$A$342/D327)</f>
        <v>1</v>
      </c>
      <c r="E342" s="81">
        <f t="shared" si="221"/>
        <v>1</v>
      </c>
      <c r="F342" s="81">
        <f t="shared" si="221"/>
        <v>1</v>
      </c>
      <c r="G342" s="81">
        <f t="shared" si="221"/>
        <v>1</v>
      </c>
      <c r="H342" s="81">
        <f t="shared" si="221"/>
        <v>1</v>
      </c>
      <c r="I342" s="81">
        <f t="shared" si="221"/>
        <v>1</v>
      </c>
      <c r="J342" s="81">
        <f t="shared" si="221"/>
        <v>1</v>
      </c>
      <c r="K342" s="81">
        <f t="shared" si="221"/>
        <v>1</v>
      </c>
      <c r="L342" s="81">
        <f t="shared" si="221"/>
        <v>1</v>
      </c>
      <c r="M342" s="81">
        <f t="shared" si="221"/>
        <v>1</v>
      </c>
      <c r="N342" s="81">
        <f t="shared" si="221"/>
        <v>1</v>
      </c>
      <c r="O342" s="81">
        <f t="shared" si="221"/>
        <v>1</v>
      </c>
      <c r="P342" s="81">
        <f t="shared" si="221"/>
        <v>1</v>
      </c>
      <c r="Q342" s="81">
        <f t="shared" si="221"/>
        <v>1</v>
      </c>
      <c r="R342" s="14">
        <f t="shared" si="208"/>
        <v>0</v>
      </c>
      <c r="S342" s="14">
        <f>IF(P328=0,0,R342/$R$344)</f>
        <v>0</v>
      </c>
      <c r="T342" s="14">
        <f t="shared" si="209"/>
        <v>0</v>
      </c>
    </row>
    <row r="343" spans="1:20" x14ac:dyDescent="0.35">
      <c r="A343" s="44">
        <f>'Data Kriteria'!O20</f>
        <v>1</v>
      </c>
      <c r="B343" s="30">
        <f>'Data Kriteria'!B20</f>
        <v>0</v>
      </c>
      <c r="C343" s="81">
        <f>IF(OR(C327=1,$A$343=1),1,$A$343/C327)</f>
        <v>1</v>
      </c>
      <c r="D343" s="81">
        <f t="shared" ref="D343:Q343" si="222">IF(OR(D327=1,$A$343=1),1,$A$343/D327)</f>
        <v>1</v>
      </c>
      <c r="E343" s="81">
        <f t="shared" si="222"/>
        <v>1</v>
      </c>
      <c r="F343" s="81">
        <f t="shared" si="222"/>
        <v>1</v>
      </c>
      <c r="G343" s="81">
        <f t="shared" si="222"/>
        <v>1</v>
      </c>
      <c r="H343" s="81">
        <f t="shared" si="222"/>
        <v>1</v>
      </c>
      <c r="I343" s="81">
        <f t="shared" si="222"/>
        <v>1</v>
      </c>
      <c r="J343" s="81">
        <f t="shared" si="222"/>
        <v>1</v>
      </c>
      <c r="K343" s="81">
        <f t="shared" si="222"/>
        <v>1</v>
      </c>
      <c r="L343" s="81">
        <f t="shared" si="222"/>
        <v>1</v>
      </c>
      <c r="M343" s="81">
        <f t="shared" si="222"/>
        <v>1</v>
      </c>
      <c r="N343" s="81">
        <f t="shared" si="222"/>
        <v>1</v>
      </c>
      <c r="O343" s="81">
        <f t="shared" si="222"/>
        <v>1</v>
      </c>
      <c r="P343" s="81">
        <f t="shared" si="222"/>
        <v>1</v>
      </c>
      <c r="Q343" s="81">
        <f t="shared" si="222"/>
        <v>1</v>
      </c>
      <c r="R343" s="14">
        <f t="shared" si="208"/>
        <v>0</v>
      </c>
      <c r="S343" s="14">
        <f>IF(Q328=0,0,R343/$R$344)</f>
        <v>0</v>
      </c>
      <c r="T343" s="14">
        <f t="shared" si="209"/>
        <v>0</v>
      </c>
    </row>
    <row r="344" spans="1:20" x14ac:dyDescent="0.35">
      <c r="R344" s="14">
        <f>SUM(R329:R343)</f>
        <v>0</v>
      </c>
      <c r="S344" s="14">
        <f>SUM(S329:S343)</f>
        <v>0</v>
      </c>
      <c r="T344" s="15">
        <f>MAX(T329:T343)</f>
        <v>0</v>
      </c>
    </row>
    <row r="346" spans="1:20" ht="15" thickBot="1" x14ac:dyDescent="0.4">
      <c r="S346" s="5" t="s">
        <v>49</v>
      </c>
      <c r="T346" s="16">
        <f>T344</f>
        <v>0</v>
      </c>
    </row>
    <row r="347" spans="1:20" ht="15" thickBot="1" x14ac:dyDescent="0.4">
      <c r="B347" s="4" t="s">
        <v>38</v>
      </c>
      <c r="C347" s="4"/>
      <c r="D347" s="4"/>
      <c r="E347" s="51">
        <f>E320</f>
        <v>0</v>
      </c>
      <c r="S347" s="6" t="s">
        <v>39</v>
      </c>
      <c r="T347" s="3">
        <f>(T346-15)/(15-1)</f>
        <v>-1.0714285714285714</v>
      </c>
    </row>
    <row r="348" spans="1:20" x14ac:dyDescent="0.35">
      <c r="S348" s="6" t="s">
        <v>40</v>
      </c>
      <c r="T348" s="57" t="b">
        <f>IF(E347=E349,E350,IF(E347=F349,F350,IF(E347=G349,G350,IF(E347=H349,H350,IF(E347=I349,I350,IF(E347=J349,J350,IF(E347=K349,K350,IF(E347=L349,L350,IF(E347=M349,M350,IF(E347=N349,N350,IF(E347=O349,O350,IF(E347=P349,P350,IF(E347=Q349,Q350)))))))))))))</f>
        <v>0</v>
      </c>
    </row>
    <row r="349" spans="1:20" x14ac:dyDescent="0.35">
      <c r="B349" s="2" t="s">
        <v>41</v>
      </c>
      <c r="C349" s="2">
        <v>1</v>
      </c>
      <c r="D349" s="2">
        <v>2</v>
      </c>
      <c r="E349" s="2">
        <v>3</v>
      </c>
      <c r="F349" s="2">
        <v>4</v>
      </c>
      <c r="G349" s="2">
        <v>5</v>
      </c>
      <c r="H349" s="2">
        <v>6</v>
      </c>
      <c r="I349" s="2">
        <v>7</v>
      </c>
      <c r="J349" s="2">
        <v>8</v>
      </c>
      <c r="K349" s="2">
        <v>9</v>
      </c>
      <c r="L349" s="2">
        <v>10</v>
      </c>
      <c r="M349" s="2">
        <v>11</v>
      </c>
      <c r="N349" s="2">
        <v>12</v>
      </c>
      <c r="O349" s="2">
        <v>13</v>
      </c>
      <c r="P349" s="2">
        <v>14</v>
      </c>
      <c r="Q349" s="2">
        <v>15</v>
      </c>
      <c r="S349" s="6" t="s">
        <v>42</v>
      </c>
      <c r="T349" s="16" t="e">
        <f>T347/T348</f>
        <v>#DIV/0!</v>
      </c>
    </row>
    <row r="350" spans="1:20" x14ac:dyDescent="0.35">
      <c r="B350" s="2" t="s">
        <v>40</v>
      </c>
      <c r="C350" s="87">
        <v>0</v>
      </c>
      <c r="D350" s="87">
        <v>0</v>
      </c>
      <c r="E350" s="87">
        <v>0.57999999999999996</v>
      </c>
      <c r="F350" s="87">
        <v>0.9</v>
      </c>
      <c r="G350" s="87">
        <v>1.1200000000000001</v>
      </c>
      <c r="H350" s="87">
        <v>1.24</v>
      </c>
      <c r="I350" s="87">
        <v>1.32</v>
      </c>
      <c r="J350" s="87">
        <v>1.41</v>
      </c>
      <c r="K350" s="87">
        <v>1.45</v>
      </c>
      <c r="L350" s="87">
        <v>1.49</v>
      </c>
      <c r="M350" s="87">
        <v>1.51</v>
      </c>
      <c r="N350" s="87">
        <v>1.54</v>
      </c>
      <c r="O350" s="87">
        <v>1.56</v>
      </c>
      <c r="P350" s="87">
        <v>1.57</v>
      </c>
      <c r="Q350" s="87">
        <v>1.58</v>
      </c>
    </row>
    <row r="351" spans="1:20" x14ac:dyDescent="0.35">
      <c r="S351" s="6" t="s">
        <v>43</v>
      </c>
      <c r="T351" s="1" t="s">
        <v>44</v>
      </c>
    </row>
    <row r="352" spans="1:20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x14ac:dyDescent="0.35">
      <c r="A353" s="46" t="s">
        <v>46</v>
      </c>
      <c r="B353" s="88">
        <f>'Data Kriteria'!P5</f>
        <v>0</v>
      </c>
    </row>
    <row r="354" spans="1:20" x14ac:dyDescent="0.35">
      <c r="C354" s="44" cm="1">
        <f t="array" ref="C354:Q354">TRANSPOSE(A356:A370)</f>
        <v>1</v>
      </c>
      <c r="D354" s="44">
        <v>1</v>
      </c>
      <c r="E354" s="44">
        <v>1</v>
      </c>
      <c r="F354" s="44">
        <v>1</v>
      </c>
      <c r="G354" s="44">
        <v>1</v>
      </c>
      <c r="H354" s="44">
        <v>1</v>
      </c>
      <c r="I354" s="44">
        <v>1</v>
      </c>
      <c r="J354" s="44">
        <v>1</v>
      </c>
      <c r="K354" s="44">
        <v>1</v>
      </c>
      <c r="L354" s="44">
        <v>1</v>
      </c>
      <c r="M354" s="44">
        <v>1</v>
      </c>
      <c r="N354" s="44">
        <v>1</v>
      </c>
      <c r="O354" s="44">
        <v>1</v>
      </c>
      <c r="P354" s="44">
        <v>1</v>
      </c>
      <c r="Q354" s="44">
        <v>1</v>
      </c>
    </row>
    <row r="355" spans="1:20" x14ac:dyDescent="0.35">
      <c r="B355" s="83">
        <v>14</v>
      </c>
      <c r="C355" s="30" cm="1">
        <f t="array" ref="C355:Q355">TRANSPOSE(B356:B370)</f>
        <v>0</v>
      </c>
      <c r="D355" s="30">
        <v>0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86" t="s">
        <v>47</v>
      </c>
      <c r="S355" s="45" t="s">
        <v>35</v>
      </c>
      <c r="T355" s="45" t="s">
        <v>48</v>
      </c>
    </row>
    <row r="356" spans="1:20" x14ac:dyDescent="0.35">
      <c r="A356" s="44">
        <f>'Data Kriteria'!P6</f>
        <v>1</v>
      </c>
      <c r="B356" s="30">
        <f>'Data Kriteria'!B6</f>
        <v>0</v>
      </c>
      <c r="C356" s="81">
        <f>IF(OR(C354=1,$A$356=1),1,$A$356/C354)</f>
        <v>1</v>
      </c>
      <c r="D356" s="81">
        <f t="shared" ref="D356:Q356" si="223">IF(OR(D354=1,$A$356=1),1,$A$356/D354)</f>
        <v>1</v>
      </c>
      <c r="E356" s="81">
        <f t="shared" si="223"/>
        <v>1</v>
      </c>
      <c r="F356" s="81">
        <f t="shared" si="223"/>
        <v>1</v>
      </c>
      <c r="G356" s="81">
        <f t="shared" si="223"/>
        <v>1</v>
      </c>
      <c r="H356" s="81">
        <f t="shared" si="223"/>
        <v>1</v>
      </c>
      <c r="I356" s="81">
        <f t="shared" si="223"/>
        <v>1</v>
      </c>
      <c r="J356" s="81">
        <f t="shared" si="223"/>
        <v>1</v>
      </c>
      <c r="K356" s="81">
        <f t="shared" si="223"/>
        <v>1</v>
      </c>
      <c r="L356" s="81">
        <f t="shared" si="223"/>
        <v>1</v>
      </c>
      <c r="M356" s="81">
        <f t="shared" si="223"/>
        <v>1</v>
      </c>
      <c r="N356" s="81">
        <f t="shared" si="223"/>
        <v>1</v>
      </c>
      <c r="O356" s="81">
        <f t="shared" si="223"/>
        <v>1</v>
      </c>
      <c r="P356" s="81">
        <f t="shared" si="223"/>
        <v>1</v>
      </c>
      <c r="Q356" s="81">
        <f t="shared" si="223"/>
        <v>1</v>
      </c>
      <c r="R356" s="14">
        <f>IF(A356=1,0,(C356*D356*E356*F356*G356*H356*I356*J356*K356*L356*M356*N356*O356*P356*Q356)^(1/$E$374))</f>
        <v>0</v>
      </c>
      <c r="S356" s="14">
        <f>IF(C355=0,0,R356/$R$371)</f>
        <v>0</v>
      </c>
      <c r="T356" s="14">
        <f>IF(A356=1,0,(C356*$S$113+D356*$S$114+E356*$S$115+F356*$S$116+G356*$S$117+H356*$S$118+I356*$S$119+J356*$S$120+K356*$S$121+L356*$S$122+M356*$S$123+N356*$S$124+O356*$S$125+P356*$S$126+Q356*$S$127)/S356)</f>
        <v>0</v>
      </c>
    </row>
    <row r="357" spans="1:20" x14ac:dyDescent="0.35">
      <c r="A357" s="44">
        <f>'Data Kriteria'!P7</f>
        <v>1</v>
      </c>
      <c r="B357" s="30">
        <f>'Data Kriteria'!B7</f>
        <v>0</v>
      </c>
      <c r="C357" s="81">
        <f>IF(OR(C354=1,$A$357=1),1,$A$357/C354)</f>
        <v>1</v>
      </c>
      <c r="D357" s="81">
        <f t="shared" ref="D357:Q357" si="224">IF(OR(D354=1,$A$357=1),1,$A$357/D354)</f>
        <v>1</v>
      </c>
      <c r="E357" s="81">
        <f t="shared" si="224"/>
        <v>1</v>
      </c>
      <c r="F357" s="81">
        <f t="shared" si="224"/>
        <v>1</v>
      </c>
      <c r="G357" s="81">
        <f t="shared" si="224"/>
        <v>1</v>
      </c>
      <c r="H357" s="81">
        <f t="shared" si="224"/>
        <v>1</v>
      </c>
      <c r="I357" s="81">
        <f t="shared" si="224"/>
        <v>1</v>
      </c>
      <c r="J357" s="81">
        <f t="shared" si="224"/>
        <v>1</v>
      </c>
      <c r="K357" s="81">
        <f t="shared" si="224"/>
        <v>1</v>
      </c>
      <c r="L357" s="81">
        <f t="shared" si="224"/>
        <v>1</v>
      </c>
      <c r="M357" s="81">
        <f t="shared" si="224"/>
        <v>1</v>
      </c>
      <c r="N357" s="81">
        <f t="shared" si="224"/>
        <v>1</v>
      </c>
      <c r="O357" s="81">
        <f t="shared" si="224"/>
        <v>1</v>
      </c>
      <c r="P357" s="81">
        <f t="shared" si="224"/>
        <v>1</v>
      </c>
      <c r="Q357" s="81">
        <f t="shared" si="224"/>
        <v>1</v>
      </c>
      <c r="R357" s="14">
        <f t="shared" ref="R357:R370" si="225">IF(A357=1,0,(C357*D357*E357*F357*G357*H357*I357*J357*K357*L357*M357*N357*O357*P357*Q357)^(1/$E$374))</f>
        <v>0</v>
      </c>
      <c r="S357" s="14">
        <f>IF(D355=0,0,R357/$R$371)</f>
        <v>0</v>
      </c>
      <c r="T357" s="14">
        <f t="shared" ref="T357:T370" si="226">IF(A357=1,0,(C357*$S$113+D357*$S$114+E357*$S$115+F357*$S$116+G357*$S$117+H357*$S$118+I357*$S$119+J357*$S$120+K357*$S$121+L357*$S$122+M357*$S$123+N357*$S$124+O357*$S$125+P357*$S$126+Q357*$S$127)/S357)</f>
        <v>0</v>
      </c>
    </row>
    <row r="358" spans="1:20" x14ac:dyDescent="0.35">
      <c r="A358" s="44">
        <f>'Data Kriteria'!P8</f>
        <v>1</v>
      </c>
      <c r="B358" s="30">
        <f>'Data Kriteria'!B8</f>
        <v>0</v>
      </c>
      <c r="C358" s="81">
        <f>IF(OR(C354=1,$A$358=1),1,$A$358/C354)</f>
        <v>1</v>
      </c>
      <c r="D358" s="81">
        <f t="shared" ref="D358:Q358" si="227">IF(OR(D354=1,$A$358=1),1,$A$358/D354)</f>
        <v>1</v>
      </c>
      <c r="E358" s="81">
        <f t="shared" si="227"/>
        <v>1</v>
      </c>
      <c r="F358" s="81">
        <f t="shared" si="227"/>
        <v>1</v>
      </c>
      <c r="G358" s="81">
        <f t="shared" si="227"/>
        <v>1</v>
      </c>
      <c r="H358" s="81">
        <f t="shared" si="227"/>
        <v>1</v>
      </c>
      <c r="I358" s="81">
        <f t="shared" si="227"/>
        <v>1</v>
      </c>
      <c r="J358" s="81">
        <f t="shared" si="227"/>
        <v>1</v>
      </c>
      <c r="K358" s="81">
        <f t="shared" si="227"/>
        <v>1</v>
      </c>
      <c r="L358" s="81">
        <f t="shared" si="227"/>
        <v>1</v>
      </c>
      <c r="M358" s="81">
        <f t="shared" si="227"/>
        <v>1</v>
      </c>
      <c r="N358" s="81">
        <f t="shared" si="227"/>
        <v>1</v>
      </c>
      <c r="O358" s="81">
        <f t="shared" si="227"/>
        <v>1</v>
      </c>
      <c r="P358" s="81">
        <f t="shared" si="227"/>
        <v>1</v>
      </c>
      <c r="Q358" s="81">
        <f t="shared" si="227"/>
        <v>1</v>
      </c>
      <c r="R358" s="14">
        <f t="shared" si="225"/>
        <v>0</v>
      </c>
      <c r="S358" s="14">
        <f>IF(E355=0,0,R358/$R$371)</f>
        <v>0</v>
      </c>
      <c r="T358" s="14">
        <f t="shared" si="226"/>
        <v>0</v>
      </c>
    </row>
    <row r="359" spans="1:20" x14ac:dyDescent="0.35">
      <c r="A359" s="44">
        <f>'Data Kriteria'!P9</f>
        <v>1</v>
      </c>
      <c r="B359" s="30">
        <f>'Data Kriteria'!B9</f>
        <v>0</v>
      </c>
      <c r="C359" s="81">
        <f>IF(OR(C354=1,$A$359=1),1,$A$359/C354)</f>
        <v>1</v>
      </c>
      <c r="D359" s="81">
        <f t="shared" ref="D359:Q359" si="228">IF(OR(D354=1,$A$359=1),1,$A$359/D354)</f>
        <v>1</v>
      </c>
      <c r="E359" s="81">
        <f t="shared" si="228"/>
        <v>1</v>
      </c>
      <c r="F359" s="81">
        <f t="shared" si="228"/>
        <v>1</v>
      </c>
      <c r="G359" s="81">
        <f t="shared" si="228"/>
        <v>1</v>
      </c>
      <c r="H359" s="81">
        <f t="shared" si="228"/>
        <v>1</v>
      </c>
      <c r="I359" s="81">
        <f t="shared" si="228"/>
        <v>1</v>
      </c>
      <c r="J359" s="81">
        <f t="shared" si="228"/>
        <v>1</v>
      </c>
      <c r="K359" s="81">
        <f t="shared" si="228"/>
        <v>1</v>
      </c>
      <c r="L359" s="81">
        <f t="shared" si="228"/>
        <v>1</v>
      </c>
      <c r="M359" s="81">
        <f t="shared" si="228"/>
        <v>1</v>
      </c>
      <c r="N359" s="81">
        <f t="shared" si="228"/>
        <v>1</v>
      </c>
      <c r="O359" s="81">
        <f t="shared" si="228"/>
        <v>1</v>
      </c>
      <c r="P359" s="81">
        <f t="shared" si="228"/>
        <v>1</v>
      </c>
      <c r="Q359" s="81">
        <f t="shared" si="228"/>
        <v>1</v>
      </c>
      <c r="R359" s="14">
        <f t="shared" si="225"/>
        <v>0</v>
      </c>
      <c r="S359" s="14">
        <f>IF(F355=0,0,R359/$R$371)</f>
        <v>0</v>
      </c>
      <c r="T359" s="14">
        <f t="shared" si="226"/>
        <v>0</v>
      </c>
    </row>
    <row r="360" spans="1:20" x14ac:dyDescent="0.35">
      <c r="A360" s="44">
        <f>'Data Kriteria'!P10</f>
        <v>1</v>
      </c>
      <c r="B360" s="30">
        <f>'Data Kriteria'!B10</f>
        <v>0</v>
      </c>
      <c r="C360" s="81">
        <f>IF(OR(C354=1,$A$360=1),1,$A$360/C354)</f>
        <v>1</v>
      </c>
      <c r="D360" s="81">
        <f t="shared" ref="D360:Q360" si="229">IF(OR(D354=1,$A$360=1),1,$A$360/D354)</f>
        <v>1</v>
      </c>
      <c r="E360" s="81">
        <f t="shared" si="229"/>
        <v>1</v>
      </c>
      <c r="F360" s="81">
        <f t="shared" si="229"/>
        <v>1</v>
      </c>
      <c r="G360" s="81">
        <f t="shared" si="229"/>
        <v>1</v>
      </c>
      <c r="H360" s="81">
        <f t="shared" si="229"/>
        <v>1</v>
      </c>
      <c r="I360" s="81">
        <f t="shared" si="229"/>
        <v>1</v>
      </c>
      <c r="J360" s="81">
        <f t="shared" si="229"/>
        <v>1</v>
      </c>
      <c r="K360" s="81">
        <f t="shared" si="229"/>
        <v>1</v>
      </c>
      <c r="L360" s="81">
        <f t="shared" si="229"/>
        <v>1</v>
      </c>
      <c r="M360" s="81">
        <f t="shared" si="229"/>
        <v>1</v>
      </c>
      <c r="N360" s="81">
        <f t="shared" si="229"/>
        <v>1</v>
      </c>
      <c r="O360" s="81">
        <f t="shared" si="229"/>
        <v>1</v>
      </c>
      <c r="P360" s="81">
        <f t="shared" si="229"/>
        <v>1</v>
      </c>
      <c r="Q360" s="81">
        <f t="shared" si="229"/>
        <v>1</v>
      </c>
      <c r="R360" s="14">
        <f t="shared" si="225"/>
        <v>0</v>
      </c>
      <c r="S360" s="14">
        <f>IF(G355=0,0,R360/$R$371)</f>
        <v>0</v>
      </c>
      <c r="T360" s="14">
        <f t="shared" si="226"/>
        <v>0</v>
      </c>
    </row>
    <row r="361" spans="1:20" x14ac:dyDescent="0.35">
      <c r="A361" s="44">
        <f>'Data Kriteria'!P11</f>
        <v>1</v>
      </c>
      <c r="B361" s="30">
        <f>'Data Kriteria'!B11</f>
        <v>0</v>
      </c>
      <c r="C361" s="81">
        <f>IF(OR(C354=1,$A$361=1),1,$A$361/C354)</f>
        <v>1</v>
      </c>
      <c r="D361" s="81">
        <f t="shared" ref="D361:Q361" si="230">IF(OR(D354=1,$A$361=1),1,$A$361/D354)</f>
        <v>1</v>
      </c>
      <c r="E361" s="81">
        <f t="shared" si="230"/>
        <v>1</v>
      </c>
      <c r="F361" s="81">
        <f t="shared" si="230"/>
        <v>1</v>
      </c>
      <c r="G361" s="81">
        <f t="shared" si="230"/>
        <v>1</v>
      </c>
      <c r="H361" s="81">
        <f t="shared" si="230"/>
        <v>1</v>
      </c>
      <c r="I361" s="81">
        <f t="shared" si="230"/>
        <v>1</v>
      </c>
      <c r="J361" s="81">
        <f t="shared" si="230"/>
        <v>1</v>
      </c>
      <c r="K361" s="81">
        <f t="shared" si="230"/>
        <v>1</v>
      </c>
      <c r="L361" s="81">
        <f t="shared" si="230"/>
        <v>1</v>
      </c>
      <c r="M361" s="81">
        <f t="shared" si="230"/>
        <v>1</v>
      </c>
      <c r="N361" s="81">
        <f t="shared" si="230"/>
        <v>1</v>
      </c>
      <c r="O361" s="81">
        <f t="shared" si="230"/>
        <v>1</v>
      </c>
      <c r="P361" s="81">
        <f t="shared" si="230"/>
        <v>1</v>
      </c>
      <c r="Q361" s="81">
        <f t="shared" si="230"/>
        <v>1</v>
      </c>
      <c r="R361" s="14">
        <f t="shared" si="225"/>
        <v>0</v>
      </c>
      <c r="S361" s="14">
        <f>IF(H355=0,0,R361/$R$371)</f>
        <v>0</v>
      </c>
      <c r="T361" s="14">
        <f t="shared" si="226"/>
        <v>0</v>
      </c>
    </row>
    <row r="362" spans="1:20" x14ac:dyDescent="0.35">
      <c r="A362" s="44">
        <f>'Data Kriteria'!P12</f>
        <v>1</v>
      </c>
      <c r="B362" s="30">
        <f>'Data Kriteria'!B12</f>
        <v>0</v>
      </c>
      <c r="C362" s="81">
        <f>IF(OR(C354=1,$A$362=1),1,$A$362/C354)</f>
        <v>1</v>
      </c>
      <c r="D362" s="81">
        <f t="shared" ref="D362:Q362" si="231">IF(OR(D354=1,$A$362=1),1,$A$362/D354)</f>
        <v>1</v>
      </c>
      <c r="E362" s="81">
        <f t="shared" si="231"/>
        <v>1</v>
      </c>
      <c r="F362" s="81">
        <f t="shared" si="231"/>
        <v>1</v>
      </c>
      <c r="G362" s="81">
        <f t="shared" si="231"/>
        <v>1</v>
      </c>
      <c r="H362" s="81">
        <f t="shared" si="231"/>
        <v>1</v>
      </c>
      <c r="I362" s="81">
        <f t="shared" si="231"/>
        <v>1</v>
      </c>
      <c r="J362" s="81">
        <f t="shared" si="231"/>
        <v>1</v>
      </c>
      <c r="K362" s="81">
        <f t="shared" si="231"/>
        <v>1</v>
      </c>
      <c r="L362" s="81">
        <f t="shared" si="231"/>
        <v>1</v>
      </c>
      <c r="M362" s="81">
        <f t="shared" si="231"/>
        <v>1</v>
      </c>
      <c r="N362" s="81">
        <f t="shared" si="231"/>
        <v>1</v>
      </c>
      <c r="O362" s="81">
        <f t="shared" si="231"/>
        <v>1</v>
      </c>
      <c r="P362" s="81">
        <f t="shared" si="231"/>
        <v>1</v>
      </c>
      <c r="Q362" s="81">
        <f t="shared" si="231"/>
        <v>1</v>
      </c>
      <c r="R362" s="14">
        <f t="shared" si="225"/>
        <v>0</v>
      </c>
      <c r="S362" s="14">
        <f>IF(I355=0,0,R362/$R$371)</f>
        <v>0</v>
      </c>
      <c r="T362" s="14">
        <f t="shared" si="226"/>
        <v>0</v>
      </c>
    </row>
    <row r="363" spans="1:20" x14ac:dyDescent="0.35">
      <c r="A363" s="44">
        <f>'Data Kriteria'!P13</f>
        <v>1</v>
      </c>
      <c r="B363" s="30">
        <f>'Data Kriteria'!B13</f>
        <v>0</v>
      </c>
      <c r="C363" s="81">
        <f>IF(OR(C354=1,$A$363=1),1,$A$363/C354)</f>
        <v>1</v>
      </c>
      <c r="D363" s="81">
        <f t="shared" ref="D363:Q363" si="232">IF(OR(D354=1,$A$363=1),1,$A$363/D354)</f>
        <v>1</v>
      </c>
      <c r="E363" s="81">
        <f t="shared" si="232"/>
        <v>1</v>
      </c>
      <c r="F363" s="81">
        <f t="shared" si="232"/>
        <v>1</v>
      </c>
      <c r="G363" s="81">
        <f t="shared" si="232"/>
        <v>1</v>
      </c>
      <c r="H363" s="81">
        <f t="shared" si="232"/>
        <v>1</v>
      </c>
      <c r="I363" s="81">
        <f t="shared" si="232"/>
        <v>1</v>
      </c>
      <c r="J363" s="81">
        <f t="shared" si="232"/>
        <v>1</v>
      </c>
      <c r="K363" s="81">
        <f t="shared" si="232"/>
        <v>1</v>
      </c>
      <c r="L363" s="81">
        <f t="shared" si="232"/>
        <v>1</v>
      </c>
      <c r="M363" s="81">
        <f t="shared" si="232"/>
        <v>1</v>
      </c>
      <c r="N363" s="81">
        <f t="shared" si="232"/>
        <v>1</v>
      </c>
      <c r="O363" s="81">
        <f t="shared" si="232"/>
        <v>1</v>
      </c>
      <c r="P363" s="81">
        <f t="shared" si="232"/>
        <v>1</v>
      </c>
      <c r="Q363" s="81">
        <f t="shared" si="232"/>
        <v>1</v>
      </c>
      <c r="R363" s="14">
        <f t="shared" si="225"/>
        <v>0</v>
      </c>
      <c r="S363" s="14">
        <f>IF(J355=0,0,R363/$R$371)</f>
        <v>0</v>
      </c>
      <c r="T363" s="14">
        <f t="shared" si="226"/>
        <v>0</v>
      </c>
    </row>
    <row r="364" spans="1:20" x14ac:dyDescent="0.35">
      <c r="A364" s="44">
        <f>'Data Kriteria'!P14</f>
        <v>1</v>
      </c>
      <c r="B364" s="30">
        <f>'Data Kriteria'!B14</f>
        <v>0</v>
      </c>
      <c r="C364" s="81">
        <f t="shared" ref="C364:Q364" si="233">IF(OR(C354=1,$A$364=1),1,$A$364/C354)</f>
        <v>1</v>
      </c>
      <c r="D364" s="81">
        <f t="shared" si="233"/>
        <v>1</v>
      </c>
      <c r="E364" s="81">
        <f t="shared" si="233"/>
        <v>1</v>
      </c>
      <c r="F364" s="81">
        <f t="shared" si="233"/>
        <v>1</v>
      </c>
      <c r="G364" s="81">
        <f t="shared" si="233"/>
        <v>1</v>
      </c>
      <c r="H364" s="81">
        <f t="shared" si="233"/>
        <v>1</v>
      </c>
      <c r="I364" s="81">
        <f t="shared" si="233"/>
        <v>1</v>
      </c>
      <c r="J364" s="81">
        <f t="shared" si="233"/>
        <v>1</v>
      </c>
      <c r="K364" s="81">
        <f t="shared" si="233"/>
        <v>1</v>
      </c>
      <c r="L364" s="81">
        <f t="shared" si="233"/>
        <v>1</v>
      </c>
      <c r="M364" s="81">
        <f t="shared" si="233"/>
        <v>1</v>
      </c>
      <c r="N364" s="81">
        <f t="shared" si="233"/>
        <v>1</v>
      </c>
      <c r="O364" s="81">
        <f t="shared" si="233"/>
        <v>1</v>
      </c>
      <c r="P364" s="81">
        <f t="shared" si="233"/>
        <v>1</v>
      </c>
      <c r="Q364" s="81">
        <f t="shared" si="233"/>
        <v>1</v>
      </c>
      <c r="R364" s="14">
        <f t="shared" si="225"/>
        <v>0</v>
      </c>
      <c r="S364" s="14">
        <f>IF(K355=0,0,R364/$R$371)</f>
        <v>0</v>
      </c>
      <c r="T364" s="14">
        <f t="shared" si="226"/>
        <v>0</v>
      </c>
    </row>
    <row r="365" spans="1:20" x14ac:dyDescent="0.35">
      <c r="A365" s="44">
        <f>'Data Kriteria'!P15</f>
        <v>1</v>
      </c>
      <c r="B365" s="30">
        <f>'Data Kriteria'!B15</f>
        <v>0</v>
      </c>
      <c r="C365" s="81">
        <f>IF(OR(C354=1,$A$365=1),1,$A$365/C354)</f>
        <v>1</v>
      </c>
      <c r="D365" s="81">
        <f t="shared" ref="D365:Q365" si="234">IF(OR(D354=1,$A$365=1),1,$A$365/D354)</f>
        <v>1</v>
      </c>
      <c r="E365" s="81">
        <f t="shared" si="234"/>
        <v>1</v>
      </c>
      <c r="F365" s="81">
        <f t="shared" si="234"/>
        <v>1</v>
      </c>
      <c r="G365" s="81">
        <f t="shared" si="234"/>
        <v>1</v>
      </c>
      <c r="H365" s="81">
        <f t="shared" si="234"/>
        <v>1</v>
      </c>
      <c r="I365" s="81">
        <f t="shared" si="234"/>
        <v>1</v>
      </c>
      <c r="J365" s="81">
        <f t="shared" si="234"/>
        <v>1</v>
      </c>
      <c r="K365" s="81">
        <f t="shared" si="234"/>
        <v>1</v>
      </c>
      <c r="L365" s="81">
        <f t="shared" si="234"/>
        <v>1</v>
      </c>
      <c r="M365" s="81">
        <f t="shared" si="234"/>
        <v>1</v>
      </c>
      <c r="N365" s="81">
        <f t="shared" si="234"/>
        <v>1</v>
      </c>
      <c r="O365" s="81">
        <f t="shared" si="234"/>
        <v>1</v>
      </c>
      <c r="P365" s="81">
        <f t="shared" si="234"/>
        <v>1</v>
      </c>
      <c r="Q365" s="81">
        <f t="shared" si="234"/>
        <v>1</v>
      </c>
      <c r="R365" s="14">
        <f t="shared" si="225"/>
        <v>0</v>
      </c>
      <c r="S365" s="14">
        <f>IF(L355=0,0,R365/$R$371)</f>
        <v>0</v>
      </c>
      <c r="T365" s="14">
        <f t="shared" si="226"/>
        <v>0</v>
      </c>
    </row>
    <row r="366" spans="1:20" x14ac:dyDescent="0.35">
      <c r="A366" s="44">
        <f>'Data Kriteria'!P16</f>
        <v>1</v>
      </c>
      <c r="B366" s="30">
        <f>'Data Kriteria'!B16</f>
        <v>0</v>
      </c>
      <c r="C366" s="81">
        <f>IF(OR(C354=1,$A$366=1),1,$A$366/C354)</f>
        <v>1</v>
      </c>
      <c r="D366" s="81">
        <f t="shared" ref="D366:Q366" si="235">IF(OR(D354=1,$A$366=1),1,$A$366/D354)</f>
        <v>1</v>
      </c>
      <c r="E366" s="81">
        <f t="shared" si="235"/>
        <v>1</v>
      </c>
      <c r="F366" s="81">
        <f t="shared" si="235"/>
        <v>1</v>
      </c>
      <c r="G366" s="81">
        <f t="shared" si="235"/>
        <v>1</v>
      </c>
      <c r="H366" s="81">
        <f t="shared" si="235"/>
        <v>1</v>
      </c>
      <c r="I366" s="81">
        <f t="shared" si="235"/>
        <v>1</v>
      </c>
      <c r="J366" s="81">
        <f t="shared" si="235"/>
        <v>1</v>
      </c>
      <c r="K366" s="81">
        <f t="shared" si="235"/>
        <v>1</v>
      </c>
      <c r="L366" s="81">
        <f t="shared" si="235"/>
        <v>1</v>
      </c>
      <c r="M366" s="81">
        <f t="shared" si="235"/>
        <v>1</v>
      </c>
      <c r="N366" s="81">
        <f t="shared" si="235"/>
        <v>1</v>
      </c>
      <c r="O366" s="81">
        <f t="shared" si="235"/>
        <v>1</v>
      </c>
      <c r="P366" s="81">
        <f t="shared" si="235"/>
        <v>1</v>
      </c>
      <c r="Q366" s="81">
        <f t="shared" si="235"/>
        <v>1</v>
      </c>
      <c r="R366" s="14">
        <f t="shared" si="225"/>
        <v>0</v>
      </c>
      <c r="S366" s="14">
        <f>IF(M355=0,0,R366/$R$371)</f>
        <v>0</v>
      </c>
      <c r="T366" s="14">
        <f t="shared" si="226"/>
        <v>0</v>
      </c>
    </row>
    <row r="367" spans="1:20" x14ac:dyDescent="0.35">
      <c r="A367" s="44">
        <f>'Data Kriteria'!P17</f>
        <v>1</v>
      </c>
      <c r="B367" s="30">
        <f>'Data Kriteria'!B17</f>
        <v>0</v>
      </c>
      <c r="C367" s="81">
        <f>IF(OR(C354=1,$A$367=1),1,$A$367/C354)</f>
        <v>1</v>
      </c>
      <c r="D367" s="81">
        <f t="shared" ref="D367:Q367" si="236">IF(OR(D354=1,$A$367=1),1,$A$367/D354)</f>
        <v>1</v>
      </c>
      <c r="E367" s="81">
        <f t="shared" si="236"/>
        <v>1</v>
      </c>
      <c r="F367" s="81">
        <f t="shared" si="236"/>
        <v>1</v>
      </c>
      <c r="G367" s="81">
        <f t="shared" si="236"/>
        <v>1</v>
      </c>
      <c r="H367" s="81">
        <f t="shared" si="236"/>
        <v>1</v>
      </c>
      <c r="I367" s="81">
        <f t="shared" si="236"/>
        <v>1</v>
      </c>
      <c r="J367" s="81">
        <f t="shared" si="236"/>
        <v>1</v>
      </c>
      <c r="K367" s="81">
        <f t="shared" si="236"/>
        <v>1</v>
      </c>
      <c r="L367" s="81">
        <f t="shared" si="236"/>
        <v>1</v>
      </c>
      <c r="M367" s="81">
        <f t="shared" si="236"/>
        <v>1</v>
      </c>
      <c r="N367" s="81">
        <f t="shared" si="236"/>
        <v>1</v>
      </c>
      <c r="O367" s="81">
        <f t="shared" si="236"/>
        <v>1</v>
      </c>
      <c r="P367" s="81">
        <f t="shared" si="236"/>
        <v>1</v>
      </c>
      <c r="Q367" s="81">
        <f t="shared" si="236"/>
        <v>1</v>
      </c>
      <c r="R367" s="14">
        <f t="shared" si="225"/>
        <v>0</v>
      </c>
      <c r="S367" s="14">
        <f>IF(N355=0,0,R367/$R$371)</f>
        <v>0</v>
      </c>
      <c r="T367" s="14">
        <f t="shared" si="226"/>
        <v>0</v>
      </c>
    </row>
    <row r="368" spans="1:20" x14ac:dyDescent="0.35">
      <c r="A368" s="44">
        <f>'Data Kriteria'!P18</f>
        <v>1</v>
      </c>
      <c r="B368" s="30">
        <f>'Data Kriteria'!B18</f>
        <v>0</v>
      </c>
      <c r="C368" s="81">
        <f>IF(OR(C354=1,$A$368=1),1,$A$368/C354)</f>
        <v>1</v>
      </c>
      <c r="D368" s="81">
        <f t="shared" ref="D368:Q368" si="237">IF(OR(D354=1,$A$368=1),1,$A$368/D354)</f>
        <v>1</v>
      </c>
      <c r="E368" s="81">
        <f t="shared" si="237"/>
        <v>1</v>
      </c>
      <c r="F368" s="81">
        <f t="shared" si="237"/>
        <v>1</v>
      </c>
      <c r="G368" s="81">
        <f t="shared" si="237"/>
        <v>1</v>
      </c>
      <c r="H368" s="81">
        <f t="shared" si="237"/>
        <v>1</v>
      </c>
      <c r="I368" s="81">
        <f t="shared" si="237"/>
        <v>1</v>
      </c>
      <c r="J368" s="81">
        <f t="shared" si="237"/>
        <v>1</v>
      </c>
      <c r="K368" s="81">
        <f t="shared" si="237"/>
        <v>1</v>
      </c>
      <c r="L368" s="81">
        <f t="shared" si="237"/>
        <v>1</v>
      </c>
      <c r="M368" s="81">
        <f t="shared" si="237"/>
        <v>1</v>
      </c>
      <c r="N368" s="81">
        <f t="shared" si="237"/>
        <v>1</v>
      </c>
      <c r="O368" s="81">
        <f t="shared" si="237"/>
        <v>1</v>
      </c>
      <c r="P368" s="81">
        <f t="shared" si="237"/>
        <v>1</v>
      </c>
      <c r="Q368" s="81">
        <f t="shared" si="237"/>
        <v>1</v>
      </c>
      <c r="R368" s="14">
        <f t="shared" si="225"/>
        <v>0</v>
      </c>
      <c r="S368" s="14">
        <f>IF(O355=0,0,R368/$R$371)</f>
        <v>0</v>
      </c>
      <c r="T368" s="14">
        <f t="shared" si="226"/>
        <v>0</v>
      </c>
    </row>
    <row r="369" spans="1:20" x14ac:dyDescent="0.35">
      <c r="A369" s="44">
        <f>'Data Kriteria'!P19</f>
        <v>1</v>
      </c>
      <c r="B369" s="30">
        <f>'Data Kriteria'!B19</f>
        <v>0</v>
      </c>
      <c r="C369" s="81">
        <f>IF(OR(C354=1,$A$369=1),1,$A$369/C354)</f>
        <v>1</v>
      </c>
      <c r="D369" s="81">
        <f t="shared" ref="D369:Q369" si="238">IF(OR(D354=1,$A$369=1),1,$A$369/D354)</f>
        <v>1</v>
      </c>
      <c r="E369" s="81">
        <f t="shared" si="238"/>
        <v>1</v>
      </c>
      <c r="F369" s="81">
        <f t="shared" si="238"/>
        <v>1</v>
      </c>
      <c r="G369" s="81">
        <f t="shared" si="238"/>
        <v>1</v>
      </c>
      <c r="H369" s="81">
        <f t="shared" si="238"/>
        <v>1</v>
      </c>
      <c r="I369" s="81">
        <f t="shared" si="238"/>
        <v>1</v>
      </c>
      <c r="J369" s="81">
        <f t="shared" si="238"/>
        <v>1</v>
      </c>
      <c r="K369" s="81">
        <f t="shared" si="238"/>
        <v>1</v>
      </c>
      <c r="L369" s="81">
        <f t="shared" si="238"/>
        <v>1</v>
      </c>
      <c r="M369" s="81">
        <f t="shared" si="238"/>
        <v>1</v>
      </c>
      <c r="N369" s="81">
        <f t="shared" si="238"/>
        <v>1</v>
      </c>
      <c r="O369" s="81">
        <f t="shared" si="238"/>
        <v>1</v>
      </c>
      <c r="P369" s="81">
        <f t="shared" si="238"/>
        <v>1</v>
      </c>
      <c r="Q369" s="81">
        <f t="shared" si="238"/>
        <v>1</v>
      </c>
      <c r="R369" s="14">
        <f t="shared" si="225"/>
        <v>0</v>
      </c>
      <c r="S369" s="14">
        <f>IF(P355=0,0,R369/$R$371)</f>
        <v>0</v>
      </c>
      <c r="T369" s="14">
        <f t="shared" si="226"/>
        <v>0</v>
      </c>
    </row>
    <row r="370" spans="1:20" x14ac:dyDescent="0.35">
      <c r="A370" s="44">
        <f>'Data Kriteria'!P20</f>
        <v>1</v>
      </c>
      <c r="B370" s="30">
        <f>'Data Kriteria'!B20</f>
        <v>0</v>
      </c>
      <c r="C370" s="81">
        <f>IF(OR(C354=1,$A$370=1),1,$A$370/C354)</f>
        <v>1</v>
      </c>
      <c r="D370" s="81">
        <f t="shared" ref="D370:Q370" si="239">IF(OR(D354=1,$A$370=1),1,$A$370/D354)</f>
        <v>1</v>
      </c>
      <c r="E370" s="81">
        <f t="shared" si="239"/>
        <v>1</v>
      </c>
      <c r="F370" s="81">
        <f t="shared" si="239"/>
        <v>1</v>
      </c>
      <c r="G370" s="81">
        <f t="shared" si="239"/>
        <v>1</v>
      </c>
      <c r="H370" s="81">
        <f t="shared" si="239"/>
        <v>1</v>
      </c>
      <c r="I370" s="81">
        <f t="shared" si="239"/>
        <v>1</v>
      </c>
      <c r="J370" s="81">
        <f t="shared" si="239"/>
        <v>1</v>
      </c>
      <c r="K370" s="81">
        <f t="shared" si="239"/>
        <v>1</v>
      </c>
      <c r="L370" s="81">
        <f t="shared" si="239"/>
        <v>1</v>
      </c>
      <c r="M370" s="81">
        <f t="shared" si="239"/>
        <v>1</v>
      </c>
      <c r="N370" s="81">
        <f t="shared" si="239"/>
        <v>1</v>
      </c>
      <c r="O370" s="81">
        <f t="shared" si="239"/>
        <v>1</v>
      </c>
      <c r="P370" s="81">
        <f t="shared" si="239"/>
        <v>1</v>
      </c>
      <c r="Q370" s="81">
        <f t="shared" si="239"/>
        <v>1</v>
      </c>
      <c r="R370" s="14">
        <f t="shared" si="225"/>
        <v>0</v>
      </c>
      <c r="S370" s="14">
        <f>IF(Q355=0,0,R370/$R$371)</f>
        <v>0</v>
      </c>
      <c r="T370" s="14">
        <f t="shared" si="226"/>
        <v>0</v>
      </c>
    </row>
    <row r="371" spans="1:20" x14ac:dyDescent="0.35">
      <c r="R371" s="14">
        <f>SUM(R356:R370)</f>
        <v>0</v>
      </c>
      <c r="S371" s="14">
        <f>SUM(S356:S370)</f>
        <v>0</v>
      </c>
      <c r="T371" s="15">
        <f>MAX(T356:T370)</f>
        <v>0</v>
      </c>
    </row>
    <row r="373" spans="1:20" ht="15" thickBot="1" x14ac:dyDescent="0.4">
      <c r="S373" s="5" t="s">
        <v>49</v>
      </c>
      <c r="T373" s="16">
        <f>T371</f>
        <v>0</v>
      </c>
    </row>
    <row r="374" spans="1:20" ht="15" thickBot="1" x14ac:dyDescent="0.4">
      <c r="B374" s="4" t="s">
        <v>38</v>
      </c>
      <c r="C374" s="4"/>
      <c r="D374" s="4"/>
      <c r="E374" s="51">
        <f>E347</f>
        <v>0</v>
      </c>
      <c r="S374" s="6" t="s">
        <v>39</v>
      </c>
      <c r="T374" s="3">
        <f>(T373-15)/(15-1)</f>
        <v>-1.0714285714285714</v>
      </c>
    </row>
    <row r="375" spans="1:20" x14ac:dyDescent="0.35">
      <c r="S375" s="6" t="s">
        <v>40</v>
      </c>
      <c r="T375" s="57" t="b">
        <f>IF(E374=E376,E377,IF(E374=F376,F377,IF(E374=G376,G377,IF(E374=H376,H377,IF(E374=I376,I377,IF(E374=J376,J377,IF(E374=K376,K377,IF(E374=L376,L377,IF(E374=M376,M377,IF(E374=N376,N377,IF(E374=O376,O377,IF(E374=P376,P377,IF(E374=Q376,Q377)))))))))))))</f>
        <v>0</v>
      </c>
    </row>
    <row r="376" spans="1:20" x14ac:dyDescent="0.35">
      <c r="B376" s="2" t="s">
        <v>41</v>
      </c>
      <c r="C376" s="2">
        <v>1</v>
      </c>
      <c r="D376" s="2">
        <v>2</v>
      </c>
      <c r="E376" s="2">
        <v>3</v>
      </c>
      <c r="F376" s="2">
        <v>4</v>
      </c>
      <c r="G376" s="2">
        <v>5</v>
      </c>
      <c r="H376" s="2">
        <v>6</v>
      </c>
      <c r="I376" s="2">
        <v>7</v>
      </c>
      <c r="J376" s="2">
        <v>8</v>
      </c>
      <c r="K376" s="2">
        <v>9</v>
      </c>
      <c r="L376" s="2">
        <v>10</v>
      </c>
      <c r="M376" s="2">
        <v>11</v>
      </c>
      <c r="N376" s="2">
        <v>12</v>
      </c>
      <c r="O376" s="2">
        <v>13</v>
      </c>
      <c r="P376" s="2">
        <v>14</v>
      </c>
      <c r="Q376" s="2">
        <v>15</v>
      </c>
      <c r="S376" s="6" t="s">
        <v>42</v>
      </c>
      <c r="T376" s="16" t="e">
        <f>T374/T375</f>
        <v>#DIV/0!</v>
      </c>
    </row>
    <row r="377" spans="1:20" x14ac:dyDescent="0.35">
      <c r="B377" s="2" t="s">
        <v>40</v>
      </c>
      <c r="C377" s="87">
        <v>0</v>
      </c>
      <c r="D377" s="87">
        <v>0</v>
      </c>
      <c r="E377" s="87">
        <v>0.57999999999999996</v>
      </c>
      <c r="F377" s="87">
        <v>0.9</v>
      </c>
      <c r="G377" s="87">
        <v>1.1200000000000001</v>
      </c>
      <c r="H377" s="87">
        <v>1.24</v>
      </c>
      <c r="I377" s="87">
        <v>1.32</v>
      </c>
      <c r="J377" s="87">
        <v>1.41</v>
      </c>
      <c r="K377" s="87">
        <v>1.45</v>
      </c>
      <c r="L377" s="87">
        <v>1.49</v>
      </c>
      <c r="M377" s="87">
        <v>1.51</v>
      </c>
      <c r="N377" s="87">
        <v>1.54</v>
      </c>
      <c r="O377" s="87">
        <v>1.56</v>
      </c>
      <c r="P377" s="87">
        <v>1.57</v>
      </c>
      <c r="Q377" s="87">
        <v>1.58</v>
      </c>
    </row>
    <row r="378" spans="1:20" x14ac:dyDescent="0.35">
      <c r="S378" s="6" t="s">
        <v>43</v>
      </c>
      <c r="T378" s="1" t="s">
        <v>44</v>
      </c>
    </row>
    <row r="379" spans="1:20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x14ac:dyDescent="0.35">
      <c r="A380" s="46" t="s">
        <v>46</v>
      </c>
      <c r="B380" s="88">
        <f>'Data Kriteria'!Q5</f>
        <v>0</v>
      </c>
    </row>
    <row r="381" spans="1:20" x14ac:dyDescent="0.35">
      <c r="C381" s="44" cm="1">
        <f t="array" ref="C381:Q381">TRANSPOSE(A383:A397)</f>
        <v>1</v>
      </c>
      <c r="D381" s="44">
        <v>1</v>
      </c>
      <c r="E381" s="44">
        <v>1</v>
      </c>
      <c r="F381" s="44">
        <v>1</v>
      </c>
      <c r="G381" s="44">
        <v>1</v>
      </c>
      <c r="H381" s="44">
        <v>1</v>
      </c>
      <c r="I381" s="44">
        <v>1</v>
      </c>
      <c r="J381" s="44">
        <v>1</v>
      </c>
      <c r="K381" s="44">
        <v>1</v>
      </c>
      <c r="L381" s="44">
        <v>1</v>
      </c>
      <c r="M381" s="44">
        <v>1</v>
      </c>
      <c r="N381" s="44">
        <v>1</v>
      </c>
      <c r="O381" s="44">
        <v>1</v>
      </c>
      <c r="P381" s="44">
        <v>1</v>
      </c>
      <c r="Q381" s="44">
        <v>1</v>
      </c>
    </row>
    <row r="382" spans="1:20" x14ac:dyDescent="0.35">
      <c r="B382" s="83">
        <v>15</v>
      </c>
      <c r="C382" s="30" cm="1">
        <f t="array" ref="C382:Q382">TRANSPOSE(B383:B397)</f>
        <v>0</v>
      </c>
      <c r="D382" s="30">
        <v>0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86" t="s">
        <v>47</v>
      </c>
      <c r="S382" s="45" t="s">
        <v>35</v>
      </c>
      <c r="T382" s="45" t="s">
        <v>48</v>
      </c>
    </row>
    <row r="383" spans="1:20" x14ac:dyDescent="0.35">
      <c r="A383" s="44">
        <f>'Data Kriteria'!P6</f>
        <v>1</v>
      </c>
      <c r="B383" s="30">
        <f>'Data Kriteria'!B6</f>
        <v>0</v>
      </c>
      <c r="C383" s="81">
        <f>IF(OR(C381=1,$A$383=1),1,$A$383/C381)</f>
        <v>1</v>
      </c>
      <c r="D383" s="81">
        <f t="shared" ref="D383:Q383" si="240">IF(OR(D381=1,$A$383=1),1,$A$383/D381)</f>
        <v>1</v>
      </c>
      <c r="E383" s="81">
        <f t="shared" si="240"/>
        <v>1</v>
      </c>
      <c r="F383" s="81">
        <f t="shared" si="240"/>
        <v>1</v>
      </c>
      <c r="G383" s="81">
        <f t="shared" si="240"/>
        <v>1</v>
      </c>
      <c r="H383" s="81">
        <f t="shared" si="240"/>
        <v>1</v>
      </c>
      <c r="I383" s="81">
        <f t="shared" si="240"/>
        <v>1</v>
      </c>
      <c r="J383" s="81">
        <f t="shared" si="240"/>
        <v>1</v>
      </c>
      <c r="K383" s="81">
        <f t="shared" si="240"/>
        <v>1</v>
      </c>
      <c r="L383" s="81">
        <f t="shared" si="240"/>
        <v>1</v>
      </c>
      <c r="M383" s="81">
        <f t="shared" si="240"/>
        <v>1</v>
      </c>
      <c r="N383" s="81">
        <f t="shared" si="240"/>
        <v>1</v>
      </c>
      <c r="O383" s="81">
        <f t="shared" si="240"/>
        <v>1</v>
      </c>
      <c r="P383" s="81">
        <f t="shared" si="240"/>
        <v>1</v>
      </c>
      <c r="Q383" s="81">
        <f t="shared" si="240"/>
        <v>1</v>
      </c>
      <c r="R383" s="14">
        <f>IF(A383=1,0,(C383*D383*E383*F383*G383*H383*I383*J383*K383*L383*M383*N383*O383*P383*Q383)^(1/$E$401))</f>
        <v>0</v>
      </c>
      <c r="S383" s="14">
        <f>IF(C382=0,0,R383/$R$398)</f>
        <v>0</v>
      </c>
      <c r="T383" s="14">
        <f>IF(A383=1,0,(C383*$S$113+D383*$S$114+E383*$S$115+F383*$S$116+G383*$S$117+H383*$S$118+I383*$S$119+J383*$S$120+K383*$S$121+L383*$S$122+M383*$S$123+N383*$S$124+O383*$S$125+P383*$S$126+Q383*$S$127)/S383)</f>
        <v>0</v>
      </c>
    </row>
    <row r="384" spans="1:20" x14ac:dyDescent="0.35">
      <c r="A384" s="44">
        <f>'Data Kriteria'!P7</f>
        <v>1</v>
      </c>
      <c r="B384" s="30">
        <f>'Data Kriteria'!B7</f>
        <v>0</v>
      </c>
      <c r="C384" s="81">
        <f>IF(OR(C381=1,$A$384=1),1,$A$384/C381)</f>
        <v>1</v>
      </c>
      <c r="D384" s="81">
        <f t="shared" ref="D384:Q384" si="241">IF(OR(D381=1,$A$384=1),1,$A$384/D381)</f>
        <v>1</v>
      </c>
      <c r="E384" s="81">
        <f t="shared" si="241"/>
        <v>1</v>
      </c>
      <c r="F384" s="81">
        <f t="shared" si="241"/>
        <v>1</v>
      </c>
      <c r="G384" s="81">
        <f t="shared" si="241"/>
        <v>1</v>
      </c>
      <c r="H384" s="81">
        <f t="shared" si="241"/>
        <v>1</v>
      </c>
      <c r="I384" s="81">
        <f t="shared" si="241"/>
        <v>1</v>
      </c>
      <c r="J384" s="81">
        <f t="shared" si="241"/>
        <v>1</v>
      </c>
      <c r="K384" s="81">
        <f t="shared" si="241"/>
        <v>1</v>
      </c>
      <c r="L384" s="81">
        <f t="shared" si="241"/>
        <v>1</v>
      </c>
      <c r="M384" s="81">
        <f t="shared" si="241"/>
        <v>1</v>
      </c>
      <c r="N384" s="81">
        <f t="shared" si="241"/>
        <v>1</v>
      </c>
      <c r="O384" s="81">
        <f t="shared" si="241"/>
        <v>1</v>
      </c>
      <c r="P384" s="81">
        <f t="shared" si="241"/>
        <v>1</v>
      </c>
      <c r="Q384" s="81">
        <f t="shared" si="241"/>
        <v>1</v>
      </c>
      <c r="R384" s="14">
        <f t="shared" ref="R384:R397" si="242">IF(A384=1,0,(C384*D384*E384*F384*G384*H384*I384*J384*K384*L384*M384*N384*O384*P384*Q384)^(1/$E$401))</f>
        <v>0</v>
      </c>
      <c r="S384" s="14">
        <f>IF(D382=0,0,R384/$R$398)</f>
        <v>0</v>
      </c>
      <c r="T384" s="14">
        <f t="shared" ref="T384:T397" si="243">IF(A384=1,0,(C384*$S$113+D384*$S$114+E384*$S$115+F384*$S$116+G384*$S$117+H384*$S$118+I384*$S$119+J384*$S$120+K384*$S$121+L384*$S$122+M384*$S$123+N384*$S$124+O384*$S$125+P384*$S$126+Q384*$S$127)/S384)</f>
        <v>0</v>
      </c>
    </row>
    <row r="385" spans="1:20" x14ac:dyDescent="0.35">
      <c r="A385" s="44">
        <f>'Data Kriteria'!P8</f>
        <v>1</v>
      </c>
      <c r="B385" s="30">
        <f>'Data Kriteria'!B8</f>
        <v>0</v>
      </c>
      <c r="C385" s="81">
        <f>IF(OR(C381=1,$A$385=1),1,$A$385/C381)</f>
        <v>1</v>
      </c>
      <c r="D385" s="81">
        <f t="shared" ref="D385:Q385" si="244">IF(OR(D381=1,$A$385=1),1,$A$385/D381)</f>
        <v>1</v>
      </c>
      <c r="E385" s="81">
        <f t="shared" si="244"/>
        <v>1</v>
      </c>
      <c r="F385" s="81">
        <f t="shared" si="244"/>
        <v>1</v>
      </c>
      <c r="G385" s="81">
        <f t="shared" si="244"/>
        <v>1</v>
      </c>
      <c r="H385" s="81">
        <f t="shared" si="244"/>
        <v>1</v>
      </c>
      <c r="I385" s="81">
        <f t="shared" si="244"/>
        <v>1</v>
      </c>
      <c r="J385" s="81">
        <f t="shared" si="244"/>
        <v>1</v>
      </c>
      <c r="K385" s="81">
        <f t="shared" si="244"/>
        <v>1</v>
      </c>
      <c r="L385" s="81">
        <f t="shared" si="244"/>
        <v>1</v>
      </c>
      <c r="M385" s="81">
        <f t="shared" si="244"/>
        <v>1</v>
      </c>
      <c r="N385" s="81">
        <f t="shared" si="244"/>
        <v>1</v>
      </c>
      <c r="O385" s="81">
        <f t="shared" si="244"/>
        <v>1</v>
      </c>
      <c r="P385" s="81">
        <f t="shared" si="244"/>
        <v>1</v>
      </c>
      <c r="Q385" s="81">
        <f t="shared" si="244"/>
        <v>1</v>
      </c>
      <c r="R385" s="14">
        <f t="shared" si="242"/>
        <v>0</v>
      </c>
      <c r="S385" s="14">
        <f>IF(E382=0,0,R385/$R$398)</f>
        <v>0</v>
      </c>
      <c r="T385" s="14">
        <f t="shared" si="243"/>
        <v>0</v>
      </c>
    </row>
    <row r="386" spans="1:20" x14ac:dyDescent="0.35">
      <c r="A386" s="44">
        <f>'Data Kriteria'!P9</f>
        <v>1</v>
      </c>
      <c r="B386" s="30">
        <f>'Data Kriteria'!B9</f>
        <v>0</v>
      </c>
      <c r="C386" s="81">
        <f>IF(OR(C381=1,$A$386=1),1,$A$386/C381)</f>
        <v>1</v>
      </c>
      <c r="D386" s="81">
        <f t="shared" ref="D386:Q386" si="245">IF(OR(D381=1,$A$386=1),1,$A$386/D381)</f>
        <v>1</v>
      </c>
      <c r="E386" s="81">
        <f t="shared" si="245"/>
        <v>1</v>
      </c>
      <c r="F386" s="81">
        <f t="shared" si="245"/>
        <v>1</v>
      </c>
      <c r="G386" s="81">
        <f t="shared" si="245"/>
        <v>1</v>
      </c>
      <c r="H386" s="81">
        <f t="shared" si="245"/>
        <v>1</v>
      </c>
      <c r="I386" s="81">
        <f t="shared" si="245"/>
        <v>1</v>
      </c>
      <c r="J386" s="81">
        <f t="shared" si="245"/>
        <v>1</v>
      </c>
      <c r="K386" s="81">
        <f t="shared" si="245"/>
        <v>1</v>
      </c>
      <c r="L386" s="81">
        <f t="shared" si="245"/>
        <v>1</v>
      </c>
      <c r="M386" s="81">
        <f t="shared" si="245"/>
        <v>1</v>
      </c>
      <c r="N386" s="81">
        <f t="shared" si="245"/>
        <v>1</v>
      </c>
      <c r="O386" s="81">
        <f t="shared" si="245"/>
        <v>1</v>
      </c>
      <c r="P386" s="81">
        <f t="shared" si="245"/>
        <v>1</v>
      </c>
      <c r="Q386" s="81">
        <f t="shared" si="245"/>
        <v>1</v>
      </c>
      <c r="R386" s="14">
        <f t="shared" si="242"/>
        <v>0</v>
      </c>
      <c r="S386" s="14">
        <f>IF(F382=0,0,R386/$R$398)</f>
        <v>0</v>
      </c>
      <c r="T386" s="14">
        <f t="shared" si="243"/>
        <v>0</v>
      </c>
    </row>
    <row r="387" spans="1:20" x14ac:dyDescent="0.35">
      <c r="A387" s="44">
        <f>'Data Kriteria'!P10</f>
        <v>1</v>
      </c>
      <c r="B387" s="30">
        <f>'Data Kriteria'!B10</f>
        <v>0</v>
      </c>
      <c r="C387" s="81">
        <f>IF(OR(C381=1,$A$387=1),1,$A$387/C381)</f>
        <v>1</v>
      </c>
      <c r="D387" s="81">
        <f t="shared" ref="D387:Q387" si="246">IF(OR(D381=1,$A$387=1),1,$A$387/D381)</f>
        <v>1</v>
      </c>
      <c r="E387" s="81">
        <f t="shared" si="246"/>
        <v>1</v>
      </c>
      <c r="F387" s="81">
        <f t="shared" si="246"/>
        <v>1</v>
      </c>
      <c r="G387" s="81">
        <f t="shared" si="246"/>
        <v>1</v>
      </c>
      <c r="H387" s="81">
        <f t="shared" si="246"/>
        <v>1</v>
      </c>
      <c r="I387" s="81">
        <f t="shared" si="246"/>
        <v>1</v>
      </c>
      <c r="J387" s="81">
        <f t="shared" si="246"/>
        <v>1</v>
      </c>
      <c r="K387" s="81">
        <f t="shared" si="246"/>
        <v>1</v>
      </c>
      <c r="L387" s="81">
        <f t="shared" si="246"/>
        <v>1</v>
      </c>
      <c r="M387" s="81">
        <f t="shared" si="246"/>
        <v>1</v>
      </c>
      <c r="N387" s="81">
        <f t="shared" si="246"/>
        <v>1</v>
      </c>
      <c r="O387" s="81">
        <f t="shared" si="246"/>
        <v>1</v>
      </c>
      <c r="P387" s="81">
        <f t="shared" si="246"/>
        <v>1</v>
      </c>
      <c r="Q387" s="81">
        <f t="shared" si="246"/>
        <v>1</v>
      </c>
      <c r="R387" s="14">
        <f t="shared" si="242"/>
        <v>0</v>
      </c>
      <c r="S387" s="14">
        <f>IF(G382=0,0,R387/$R$398)</f>
        <v>0</v>
      </c>
      <c r="T387" s="14">
        <f t="shared" si="243"/>
        <v>0</v>
      </c>
    </row>
    <row r="388" spans="1:20" x14ac:dyDescent="0.35">
      <c r="A388" s="44">
        <f>'Data Kriteria'!P11</f>
        <v>1</v>
      </c>
      <c r="B388" s="30">
        <f>'Data Kriteria'!B11</f>
        <v>0</v>
      </c>
      <c r="C388" s="81">
        <f>IF(OR(C381=1,$A$388=1),1,$A$388/C381)</f>
        <v>1</v>
      </c>
      <c r="D388" s="81">
        <f t="shared" ref="D388:Q388" si="247">IF(OR(D381=1,$A$388=1),1,$A$388/D381)</f>
        <v>1</v>
      </c>
      <c r="E388" s="81">
        <f t="shared" si="247"/>
        <v>1</v>
      </c>
      <c r="F388" s="81">
        <f t="shared" si="247"/>
        <v>1</v>
      </c>
      <c r="G388" s="81">
        <f t="shared" si="247"/>
        <v>1</v>
      </c>
      <c r="H388" s="81">
        <f t="shared" si="247"/>
        <v>1</v>
      </c>
      <c r="I388" s="81">
        <f t="shared" si="247"/>
        <v>1</v>
      </c>
      <c r="J388" s="81">
        <f t="shared" si="247"/>
        <v>1</v>
      </c>
      <c r="K388" s="81">
        <f t="shared" si="247"/>
        <v>1</v>
      </c>
      <c r="L388" s="81">
        <f t="shared" si="247"/>
        <v>1</v>
      </c>
      <c r="M388" s="81">
        <f t="shared" si="247"/>
        <v>1</v>
      </c>
      <c r="N388" s="81">
        <f t="shared" si="247"/>
        <v>1</v>
      </c>
      <c r="O388" s="81">
        <f t="shared" si="247"/>
        <v>1</v>
      </c>
      <c r="P388" s="81">
        <f t="shared" si="247"/>
        <v>1</v>
      </c>
      <c r="Q388" s="81">
        <f t="shared" si="247"/>
        <v>1</v>
      </c>
      <c r="R388" s="14">
        <f t="shared" si="242"/>
        <v>0</v>
      </c>
      <c r="S388" s="14">
        <f>IF(H382=0,0,R388/$R$398)</f>
        <v>0</v>
      </c>
      <c r="T388" s="14">
        <f t="shared" si="243"/>
        <v>0</v>
      </c>
    </row>
    <row r="389" spans="1:20" x14ac:dyDescent="0.35">
      <c r="A389" s="44">
        <f>'Data Kriteria'!P12</f>
        <v>1</v>
      </c>
      <c r="B389" s="30">
        <f>'Data Kriteria'!B12</f>
        <v>0</v>
      </c>
      <c r="C389" s="81">
        <f>IF(OR(C381=1,$A$389=1),1,$A$389/C381)</f>
        <v>1</v>
      </c>
      <c r="D389" s="81">
        <f t="shared" ref="D389:Q389" si="248">IF(OR(D381=1,$A$389=1),1,$A$389/D381)</f>
        <v>1</v>
      </c>
      <c r="E389" s="81">
        <f t="shared" si="248"/>
        <v>1</v>
      </c>
      <c r="F389" s="81">
        <f t="shared" si="248"/>
        <v>1</v>
      </c>
      <c r="G389" s="81">
        <f t="shared" si="248"/>
        <v>1</v>
      </c>
      <c r="H389" s="81">
        <f t="shared" si="248"/>
        <v>1</v>
      </c>
      <c r="I389" s="81">
        <f t="shared" si="248"/>
        <v>1</v>
      </c>
      <c r="J389" s="81">
        <f t="shared" si="248"/>
        <v>1</v>
      </c>
      <c r="K389" s="81">
        <f t="shared" si="248"/>
        <v>1</v>
      </c>
      <c r="L389" s="81">
        <f t="shared" si="248"/>
        <v>1</v>
      </c>
      <c r="M389" s="81">
        <f t="shared" si="248"/>
        <v>1</v>
      </c>
      <c r="N389" s="81">
        <f t="shared" si="248"/>
        <v>1</v>
      </c>
      <c r="O389" s="81">
        <f t="shared" si="248"/>
        <v>1</v>
      </c>
      <c r="P389" s="81">
        <f t="shared" si="248"/>
        <v>1</v>
      </c>
      <c r="Q389" s="81">
        <f t="shared" si="248"/>
        <v>1</v>
      </c>
      <c r="R389" s="14">
        <f t="shared" si="242"/>
        <v>0</v>
      </c>
      <c r="S389" s="14">
        <f>IF(I382=0,0,R389/$R$398)</f>
        <v>0</v>
      </c>
      <c r="T389" s="14">
        <f t="shared" si="243"/>
        <v>0</v>
      </c>
    </row>
    <row r="390" spans="1:20" x14ac:dyDescent="0.35">
      <c r="A390" s="44">
        <f>'Data Kriteria'!P13</f>
        <v>1</v>
      </c>
      <c r="B390" s="30">
        <f>'Data Kriteria'!B13</f>
        <v>0</v>
      </c>
      <c r="C390" s="81">
        <f>IF(OR(C381=1,$A$390=1),1,$A$390/C381)</f>
        <v>1</v>
      </c>
      <c r="D390" s="81">
        <f t="shared" ref="D390:Q390" si="249">IF(OR(D381=1,$A$390=1),1,$A$390/D381)</f>
        <v>1</v>
      </c>
      <c r="E390" s="81">
        <f t="shared" si="249"/>
        <v>1</v>
      </c>
      <c r="F390" s="81">
        <f t="shared" si="249"/>
        <v>1</v>
      </c>
      <c r="G390" s="81">
        <f t="shared" si="249"/>
        <v>1</v>
      </c>
      <c r="H390" s="81">
        <f t="shared" si="249"/>
        <v>1</v>
      </c>
      <c r="I390" s="81">
        <f t="shared" si="249"/>
        <v>1</v>
      </c>
      <c r="J390" s="81">
        <f t="shared" si="249"/>
        <v>1</v>
      </c>
      <c r="K390" s="81">
        <f t="shared" si="249"/>
        <v>1</v>
      </c>
      <c r="L390" s="81">
        <f t="shared" si="249"/>
        <v>1</v>
      </c>
      <c r="M390" s="81">
        <f t="shared" si="249"/>
        <v>1</v>
      </c>
      <c r="N390" s="81">
        <f t="shared" si="249"/>
        <v>1</v>
      </c>
      <c r="O390" s="81">
        <f t="shared" si="249"/>
        <v>1</v>
      </c>
      <c r="P390" s="81">
        <f t="shared" si="249"/>
        <v>1</v>
      </c>
      <c r="Q390" s="81">
        <f t="shared" si="249"/>
        <v>1</v>
      </c>
      <c r="R390" s="14">
        <f t="shared" si="242"/>
        <v>0</v>
      </c>
      <c r="S390" s="14">
        <f>IF(J382=0,0,R390/$R$398)</f>
        <v>0</v>
      </c>
      <c r="T390" s="14">
        <f t="shared" si="243"/>
        <v>0</v>
      </c>
    </row>
    <row r="391" spans="1:20" x14ac:dyDescent="0.35">
      <c r="A391" s="44">
        <f>'Data Kriteria'!P14</f>
        <v>1</v>
      </c>
      <c r="B391" s="30">
        <f>'Data Kriteria'!B14</f>
        <v>0</v>
      </c>
      <c r="C391" s="81">
        <f t="shared" ref="C391:Q391" si="250">IF(OR(C381=1,$A$391=1),1,$A$391/C381)</f>
        <v>1</v>
      </c>
      <c r="D391" s="81">
        <f t="shared" si="250"/>
        <v>1</v>
      </c>
      <c r="E391" s="81">
        <f t="shared" si="250"/>
        <v>1</v>
      </c>
      <c r="F391" s="81">
        <f t="shared" si="250"/>
        <v>1</v>
      </c>
      <c r="G391" s="81">
        <f t="shared" si="250"/>
        <v>1</v>
      </c>
      <c r="H391" s="81">
        <f t="shared" si="250"/>
        <v>1</v>
      </c>
      <c r="I391" s="81">
        <f t="shared" si="250"/>
        <v>1</v>
      </c>
      <c r="J391" s="81">
        <f t="shared" si="250"/>
        <v>1</v>
      </c>
      <c r="K391" s="81">
        <f t="shared" si="250"/>
        <v>1</v>
      </c>
      <c r="L391" s="81">
        <f t="shared" si="250"/>
        <v>1</v>
      </c>
      <c r="M391" s="81">
        <f t="shared" si="250"/>
        <v>1</v>
      </c>
      <c r="N391" s="81">
        <f t="shared" si="250"/>
        <v>1</v>
      </c>
      <c r="O391" s="81">
        <f t="shared" si="250"/>
        <v>1</v>
      </c>
      <c r="P391" s="81">
        <f t="shared" si="250"/>
        <v>1</v>
      </c>
      <c r="Q391" s="81">
        <f t="shared" si="250"/>
        <v>1</v>
      </c>
      <c r="R391" s="14">
        <f t="shared" si="242"/>
        <v>0</v>
      </c>
      <c r="S391" s="14">
        <f>IF(K382=0,0,R391/$R$398)</f>
        <v>0</v>
      </c>
      <c r="T391" s="14">
        <f t="shared" si="243"/>
        <v>0</v>
      </c>
    </row>
    <row r="392" spans="1:20" x14ac:dyDescent="0.35">
      <c r="A392" s="44">
        <f>'Data Kriteria'!P15</f>
        <v>1</v>
      </c>
      <c r="B392" s="30">
        <f>'Data Kriteria'!B15</f>
        <v>0</v>
      </c>
      <c r="C392" s="81">
        <f>IF(OR(C381=1,$A$392=1),1,$A$392/C381)</f>
        <v>1</v>
      </c>
      <c r="D392" s="81">
        <f t="shared" ref="D392:Q392" si="251">IF(OR(D381=1,$A$392=1),1,$A$392/D381)</f>
        <v>1</v>
      </c>
      <c r="E392" s="81">
        <f t="shared" si="251"/>
        <v>1</v>
      </c>
      <c r="F392" s="81">
        <f t="shared" si="251"/>
        <v>1</v>
      </c>
      <c r="G392" s="81">
        <f t="shared" si="251"/>
        <v>1</v>
      </c>
      <c r="H392" s="81">
        <f t="shared" si="251"/>
        <v>1</v>
      </c>
      <c r="I392" s="81">
        <f t="shared" si="251"/>
        <v>1</v>
      </c>
      <c r="J392" s="81">
        <f t="shared" si="251"/>
        <v>1</v>
      </c>
      <c r="K392" s="81">
        <f t="shared" si="251"/>
        <v>1</v>
      </c>
      <c r="L392" s="81">
        <f t="shared" si="251"/>
        <v>1</v>
      </c>
      <c r="M392" s="81">
        <f t="shared" si="251"/>
        <v>1</v>
      </c>
      <c r="N392" s="81">
        <f t="shared" si="251"/>
        <v>1</v>
      </c>
      <c r="O392" s="81">
        <f t="shared" si="251"/>
        <v>1</v>
      </c>
      <c r="P392" s="81">
        <f t="shared" si="251"/>
        <v>1</v>
      </c>
      <c r="Q392" s="81">
        <f t="shared" si="251"/>
        <v>1</v>
      </c>
      <c r="R392" s="14">
        <f t="shared" si="242"/>
        <v>0</v>
      </c>
      <c r="S392" s="14">
        <f>IF(L382=0,0,R392/$R$398)</f>
        <v>0</v>
      </c>
      <c r="T392" s="14">
        <f t="shared" si="243"/>
        <v>0</v>
      </c>
    </row>
    <row r="393" spans="1:20" x14ac:dyDescent="0.35">
      <c r="A393" s="44">
        <f>'Data Kriteria'!P16</f>
        <v>1</v>
      </c>
      <c r="B393" s="30">
        <f>'Data Kriteria'!B16</f>
        <v>0</v>
      </c>
      <c r="C393" s="81">
        <f>IF(OR(C381=1,$A$393=1),1,$A$393/C381)</f>
        <v>1</v>
      </c>
      <c r="D393" s="81">
        <f t="shared" ref="D393:Q393" si="252">IF(OR(D381=1,$A$393=1),1,$A$393/D381)</f>
        <v>1</v>
      </c>
      <c r="E393" s="81">
        <f t="shared" si="252"/>
        <v>1</v>
      </c>
      <c r="F393" s="81">
        <f t="shared" si="252"/>
        <v>1</v>
      </c>
      <c r="G393" s="81">
        <f t="shared" si="252"/>
        <v>1</v>
      </c>
      <c r="H393" s="81">
        <f t="shared" si="252"/>
        <v>1</v>
      </c>
      <c r="I393" s="81">
        <f t="shared" si="252"/>
        <v>1</v>
      </c>
      <c r="J393" s="81">
        <f t="shared" si="252"/>
        <v>1</v>
      </c>
      <c r="K393" s="81">
        <f t="shared" si="252"/>
        <v>1</v>
      </c>
      <c r="L393" s="81">
        <f t="shared" si="252"/>
        <v>1</v>
      </c>
      <c r="M393" s="81">
        <f t="shared" si="252"/>
        <v>1</v>
      </c>
      <c r="N393" s="81">
        <f t="shared" si="252"/>
        <v>1</v>
      </c>
      <c r="O393" s="81">
        <f t="shared" si="252"/>
        <v>1</v>
      </c>
      <c r="P393" s="81">
        <f t="shared" si="252"/>
        <v>1</v>
      </c>
      <c r="Q393" s="81">
        <f t="shared" si="252"/>
        <v>1</v>
      </c>
      <c r="R393" s="14">
        <f t="shared" si="242"/>
        <v>0</v>
      </c>
      <c r="S393" s="14">
        <f>IF(M382=0,0,R393/$R$398)</f>
        <v>0</v>
      </c>
      <c r="T393" s="14">
        <f t="shared" si="243"/>
        <v>0</v>
      </c>
    </row>
    <row r="394" spans="1:20" x14ac:dyDescent="0.35">
      <c r="A394" s="44">
        <f>'Data Kriteria'!P17</f>
        <v>1</v>
      </c>
      <c r="B394" s="30">
        <f>'Data Kriteria'!B17</f>
        <v>0</v>
      </c>
      <c r="C394" s="81">
        <f>IF(OR(C381=1,$A$394=1),1,$A$394/C381)</f>
        <v>1</v>
      </c>
      <c r="D394" s="81">
        <f t="shared" ref="D394:Q394" si="253">IF(OR(D381=1,$A$394=1),1,$A$394/D381)</f>
        <v>1</v>
      </c>
      <c r="E394" s="81">
        <f t="shared" si="253"/>
        <v>1</v>
      </c>
      <c r="F394" s="81">
        <f t="shared" si="253"/>
        <v>1</v>
      </c>
      <c r="G394" s="81">
        <f t="shared" si="253"/>
        <v>1</v>
      </c>
      <c r="H394" s="81">
        <f t="shared" si="253"/>
        <v>1</v>
      </c>
      <c r="I394" s="81">
        <f t="shared" si="253"/>
        <v>1</v>
      </c>
      <c r="J394" s="81">
        <f t="shared" si="253"/>
        <v>1</v>
      </c>
      <c r="K394" s="81">
        <f t="shared" si="253"/>
        <v>1</v>
      </c>
      <c r="L394" s="81">
        <f t="shared" si="253"/>
        <v>1</v>
      </c>
      <c r="M394" s="81">
        <f t="shared" si="253"/>
        <v>1</v>
      </c>
      <c r="N394" s="81">
        <f t="shared" si="253"/>
        <v>1</v>
      </c>
      <c r="O394" s="81">
        <f t="shared" si="253"/>
        <v>1</v>
      </c>
      <c r="P394" s="81">
        <f t="shared" si="253"/>
        <v>1</v>
      </c>
      <c r="Q394" s="81">
        <f t="shared" si="253"/>
        <v>1</v>
      </c>
      <c r="R394" s="14">
        <f t="shared" si="242"/>
        <v>0</v>
      </c>
      <c r="S394" s="14">
        <f>IF(N382=0,0,R394/$R$398)</f>
        <v>0</v>
      </c>
      <c r="T394" s="14">
        <f t="shared" si="243"/>
        <v>0</v>
      </c>
    </row>
    <row r="395" spans="1:20" x14ac:dyDescent="0.35">
      <c r="A395" s="44">
        <f>'Data Kriteria'!P18</f>
        <v>1</v>
      </c>
      <c r="B395" s="30">
        <f>'Data Kriteria'!B18</f>
        <v>0</v>
      </c>
      <c r="C395" s="81">
        <f>IF(OR(C381=1,$A$395=1),1,$A$395/C381)</f>
        <v>1</v>
      </c>
      <c r="D395" s="81">
        <f t="shared" ref="D395:Q395" si="254">IF(OR(D381=1,$A$395=1),1,$A$395/D381)</f>
        <v>1</v>
      </c>
      <c r="E395" s="81">
        <f t="shared" si="254"/>
        <v>1</v>
      </c>
      <c r="F395" s="81">
        <f t="shared" si="254"/>
        <v>1</v>
      </c>
      <c r="G395" s="81">
        <f t="shared" si="254"/>
        <v>1</v>
      </c>
      <c r="H395" s="81">
        <f t="shared" si="254"/>
        <v>1</v>
      </c>
      <c r="I395" s="81">
        <f t="shared" si="254"/>
        <v>1</v>
      </c>
      <c r="J395" s="81">
        <f t="shared" si="254"/>
        <v>1</v>
      </c>
      <c r="K395" s="81">
        <f t="shared" si="254"/>
        <v>1</v>
      </c>
      <c r="L395" s="81">
        <f t="shared" si="254"/>
        <v>1</v>
      </c>
      <c r="M395" s="81">
        <f t="shared" si="254"/>
        <v>1</v>
      </c>
      <c r="N395" s="81">
        <f t="shared" si="254"/>
        <v>1</v>
      </c>
      <c r="O395" s="81">
        <f t="shared" si="254"/>
        <v>1</v>
      </c>
      <c r="P395" s="81">
        <f t="shared" si="254"/>
        <v>1</v>
      </c>
      <c r="Q395" s="81">
        <f t="shared" si="254"/>
        <v>1</v>
      </c>
      <c r="R395" s="14">
        <f t="shared" si="242"/>
        <v>0</v>
      </c>
      <c r="S395" s="14">
        <f>IF(O382=0,0,R395/$R$398)</f>
        <v>0</v>
      </c>
      <c r="T395" s="14">
        <f t="shared" si="243"/>
        <v>0</v>
      </c>
    </row>
    <row r="396" spans="1:20" x14ac:dyDescent="0.35">
      <c r="A396" s="44">
        <f>'Data Kriteria'!P19</f>
        <v>1</v>
      </c>
      <c r="B396" s="30">
        <f>'Data Kriteria'!B19</f>
        <v>0</v>
      </c>
      <c r="C396" s="81">
        <f>IF(OR(C381=1,$A$396=1),1,$A$396/C381)</f>
        <v>1</v>
      </c>
      <c r="D396" s="81">
        <f t="shared" ref="D396:Q396" si="255">IF(OR(D381=1,$A$396=1),1,$A$396/D381)</f>
        <v>1</v>
      </c>
      <c r="E396" s="81">
        <f t="shared" si="255"/>
        <v>1</v>
      </c>
      <c r="F396" s="81">
        <f t="shared" si="255"/>
        <v>1</v>
      </c>
      <c r="G396" s="81">
        <f t="shared" si="255"/>
        <v>1</v>
      </c>
      <c r="H396" s="81">
        <f t="shared" si="255"/>
        <v>1</v>
      </c>
      <c r="I396" s="81">
        <f t="shared" si="255"/>
        <v>1</v>
      </c>
      <c r="J396" s="81">
        <f t="shared" si="255"/>
        <v>1</v>
      </c>
      <c r="K396" s="81">
        <f t="shared" si="255"/>
        <v>1</v>
      </c>
      <c r="L396" s="81">
        <f t="shared" si="255"/>
        <v>1</v>
      </c>
      <c r="M396" s="81">
        <f t="shared" si="255"/>
        <v>1</v>
      </c>
      <c r="N396" s="81">
        <f t="shared" si="255"/>
        <v>1</v>
      </c>
      <c r="O396" s="81">
        <f t="shared" si="255"/>
        <v>1</v>
      </c>
      <c r="P396" s="81">
        <f t="shared" si="255"/>
        <v>1</v>
      </c>
      <c r="Q396" s="81">
        <f t="shared" si="255"/>
        <v>1</v>
      </c>
      <c r="R396" s="14">
        <f t="shared" si="242"/>
        <v>0</v>
      </c>
      <c r="S396" s="14">
        <f>IF(P382=0,0,R396/$R$398)</f>
        <v>0</v>
      </c>
      <c r="T396" s="14">
        <f t="shared" si="243"/>
        <v>0</v>
      </c>
    </row>
    <row r="397" spans="1:20" x14ac:dyDescent="0.35">
      <c r="A397" s="44">
        <f>'Data Kriteria'!P20</f>
        <v>1</v>
      </c>
      <c r="B397" s="30">
        <f>'Data Kriteria'!B20</f>
        <v>0</v>
      </c>
      <c r="C397" s="81">
        <f>IF(OR(C381=1,$A$397=1),1,$A$397/C381)</f>
        <v>1</v>
      </c>
      <c r="D397" s="81">
        <f t="shared" ref="D397:Q397" si="256">IF(OR(D381=1,$A$397=1),1,$A$397/D381)</f>
        <v>1</v>
      </c>
      <c r="E397" s="81">
        <f t="shared" si="256"/>
        <v>1</v>
      </c>
      <c r="F397" s="81">
        <f t="shared" si="256"/>
        <v>1</v>
      </c>
      <c r="G397" s="81">
        <f t="shared" si="256"/>
        <v>1</v>
      </c>
      <c r="H397" s="81">
        <f t="shared" si="256"/>
        <v>1</v>
      </c>
      <c r="I397" s="81">
        <f t="shared" si="256"/>
        <v>1</v>
      </c>
      <c r="J397" s="81">
        <f t="shared" si="256"/>
        <v>1</v>
      </c>
      <c r="K397" s="81">
        <f t="shared" si="256"/>
        <v>1</v>
      </c>
      <c r="L397" s="81">
        <f t="shared" si="256"/>
        <v>1</v>
      </c>
      <c r="M397" s="81">
        <f t="shared" si="256"/>
        <v>1</v>
      </c>
      <c r="N397" s="81">
        <f t="shared" si="256"/>
        <v>1</v>
      </c>
      <c r="O397" s="81">
        <f t="shared" si="256"/>
        <v>1</v>
      </c>
      <c r="P397" s="81">
        <f t="shared" si="256"/>
        <v>1</v>
      </c>
      <c r="Q397" s="81">
        <f t="shared" si="256"/>
        <v>1</v>
      </c>
      <c r="R397" s="14">
        <f t="shared" si="242"/>
        <v>0</v>
      </c>
      <c r="S397" s="14">
        <f>IF(Q382=0,0,R397/$R$398)</f>
        <v>0</v>
      </c>
      <c r="T397" s="14">
        <f t="shared" si="243"/>
        <v>0</v>
      </c>
    </row>
    <row r="398" spans="1:20" x14ac:dyDescent="0.35">
      <c r="R398" s="14">
        <f>SUM(R383:R397)</f>
        <v>0</v>
      </c>
      <c r="S398" s="14">
        <f>SUM(S383:S397)</f>
        <v>0</v>
      </c>
      <c r="T398" s="15">
        <f>MAX(T383:T397)</f>
        <v>0</v>
      </c>
    </row>
    <row r="400" spans="1:20" ht="15" thickBot="1" x14ac:dyDescent="0.4">
      <c r="S400" s="5" t="s">
        <v>49</v>
      </c>
      <c r="T400" s="16">
        <f>T398</f>
        <v>0</v>
      </c>
    </row>
    <row r="401" spans="1:20" ht="15" thickBot="1" x14ac:dyDescent="0.4">
      <c r="B401" s="4" t="s">
        <v>38</v>
      </c>
      <c r="C401" s="4"/>
      <c r="D401" s="4"/>
      <c r="E401" s="51">
        <f>E374</f>
        <v>0</v>
      </c>
      <c r="S401" s="6" t="s">
        <v>39</v>
      </c>
      <c r="T401" s="3">
        <f>(T400-15)/(15-1)</f>
        <v>-1.0714285714285714</v>
      </c>
    </row>
    <row r="402" spans="1:20" x14ac:dyDescent="0.35">
      <c r="S402" s="6" t="s">
        <v>40</v>
      </c>
      <c r="T402" s="57" t="b">
        <f>IF(E401=E403,E404,IF(E401=F403,F404,IF(E401=G403,G404,IF(E401=H403,H404,IF(E401=I403,I404,IF(E401=J403,J404,IF(E401=K403,K404,IF(E401=L403,L404,IF(E401=M403,M404,IF(E401=N403,N404,IF(E401=O403,O404,IF(E401=P403,P404,IF(E401=Q403,Q404)))))))))))))</f>
        <v>0</v>
      </c>
    </row>
    <row r="403" spans="1:20" x14ac:dyDescent="0.35">
      <c r="B403" s="2" t="s">
        <v>41</v>
      </c>
      <c r="C403" s="2">
        <v>1</v>
      </c>
      <c r="D403" s="2">
        <v>2</v>
      </c>
      <c r="E403" s="2">
        <v>3</v>
      </c>
      <c r="F403" s="2">
        <v>4</v>
      </c>
      <c r="G403" s="2">
        <v>5</v>
      </c>
      <c r="H403" s="2">
        <v>6</v>
      </c>
      <c r="I403" s="2">
        <v>7</v>
      </c>
      <c r="J403" s="2">
        <v>8</v>
      </c>
      <c r="K403" s="2">
        <v>9</v>
      </c>
      <c r="L403" s="2">
        <v>10</v>
      </c>
      <c r="M403" s="2">
        <v>11</v>
      </c>
      <c r="N403" s="2">
        <v>12</v>
      </c>
      <c r="O403" s="2">
        <v>13</v>
      </c>
      <c r="P403" s="2">
        <v>14</v>
      </c>
      <c r="Q403" s="2">
        <v>15</v>
      </c>
      <c r="S403" s="6" t="s">
        <v>42</v>
      </c>
      <c r="T403" s="16" t="e">
        <f>T401/T402</f>
        <v>#DIV/0!</v>
      </c>
    </row>
    <row r="404" spans="1:20" x14ac:dyDescent="0.35">
      <c r="B404" s="2" t="s">
        <v>40</v>
      </c>
      <c r="C404" s="87">
        <v>0</v>
      </c>
      <c r="D404" s="87">
        <v>0</v>
      </c>
      <c r="E404" s="87">
        <v>0.57999999999999996</v>
      </c>
      <c r="F404" s="87">
        <v>0.9</v>
      </c>
      <c r="G404" s="87">
        <v>1.1200000000000001</v>
      </c>
      <c r="H404" s="87">
        <v>1.24</v>
      </c>
      <c r="I404" s="87">
        <v>1.32</v>
      </c>
      <c r="J404" s="87">
        <v>1.41</v>
      </c>
      <c r="K404" s="87">
        <v>1.45</v>
      </c>
      <c r="L404" s="87">
        <v>1.49</v>
      </c>
      <c r="M404" s="87">
        <v>1.51</v>
      </c>
      <c r="N404" s="87">
        <v>1.54</v>
      </c>
      <c r="O404" s="87">
        <v>1.56</v>
      </c>
      <c r="P404" s="87">
        <v>1.57</v>
      </c>
      <c r="Q404" s="87">
        <v>1.58</v>
      </c>
    </row>
    <row r="405" spans="1:20" x14ac:dyDescent="0.35">
      <c r="S405" s="6" t="s">
        <v>43</v>
      </c>
      <c r="T405" s="1" t="s">
        <v>44</v>
      </c>
    </row>
    <row r="406" spans="1:20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</sheetData>
  <sheetProtection algorithmName="SHA-512" hashValue="wGkQPugYOB117VZIZhJCMyjn3ldOqPLig87ktNuSGVQkBYbSaMtepfpc1SUFzrirbcT4hFlKt1FPxtqwR2sM5Q==" saltValue="Za5j9iKhQXYOTQ8D+ZLS3Q==" spinCount="100000" sheet="1" objects="1" scenarios="1" selectLockedCells="1"/>
  <mergeCells count="1">
    <mergeCell ref="H1:N1"/>
  </mergeCells>
  <conditionalFormatting sqref="C5:Q19">
    <cfRule type="cellIs" dxfId="32" priority="57" operator="equal">
      <formula>1</formula>
    </cfRule>
    <cfRule type="cellIs" priority="58" operator="equal">
      <formula>1</formula>
    </cfRule>
  </conditionalFormatting>
  <conditionalFormatting sqref="C32:Q46">
    <cfRule type="cellIs" dxfId="31" priority="55" operator="equal">
      <formula>1</formula>
    </cfRule>
    <cfRule type="cellIs" priority="56" operator="equal">
      <formula>1</formula>
    </cfRule>
  </conditionalFormatting>
  <conditionalFormatting sqref="C59:Q73">
    <cfRule type="cellIs" dxfId="30" priority="54" operator="equal">
      <formula>1</formula>
    </cfRule>
  </conditionalFormatting>
  <conditionalFormatting sqref="C86:Q100">
    <cfRule type="cellIs" dxfId="29" priority="53" operator="equal">
      <formula>1</formula>
    </cfRule>
  </conditionalFormatting>
  <conditionalFormatting sqref="C113:Q127">
    <cfRule type="cellIs" dxfId="28" priority="52" operator="equal">
      <formula>1</formula>
    </cfRule>
  </conditionalFormatting>
  <conditionalFormatting sqref="C140:Q154">
    <cfRule type="cellIs" dxfId="27" priority="50" operator="equal">
      <formula>1</formula>
    </cfRule>
  </conditionalFormatting>
  <conditionalFormatting sqref="C167:Q181">
    <cfRule type="cellIs" dxfId="26" priority="48" operator="equal">
      <formula>1</formula>
    </cfRule>
  </conditionalFormatting>
  <conditionalFormatting sqref="C194:Q208">
    <cfRule type="cellIs" dxfId="25" priority="44" operator="equal">
      <formula>1</formula>
    </cfRule>
  </conditionalFormatting>
  <conditionalFormatting sqref="C221:Q235">
    <cfRule type="cellIs" dxfId="24" priority="40" operator="equal">
      <formula>1</formula>
    </cfRule>
  </conditionalFormatting>
  <conditionalFormatting sqref="C248:Q262">
    <cfRule type="cellIs" dxfId="23" priority="36" operator="equal">
      <formula>1</formula>
    </cfRule>
  </conditionalFormatting>
  <conditionalFormatting sqref="C275:Q289">
    <cfRule type="cellIs" dxfId="22" priority="32" operator="equal">
      <formula>1</formula>
    </cfRule>
  </conditionalFormatting>
  <conditionalFormatting sqref="C302:Q316">
    <cfRule type="cellIs" dxfId="21" priority="28" operator="equal">
      <formula>1</formula>
    </cfRule>
  </conditionalFormatting>
  <conditionalFormatting sqref="C329:Q343">
    <cfRule type="cellIs" dxfId="20" priority="24" operator="equal">
      <formula>1</formula>
    </cfRule>
  </conditionalFormatting>
  <conditionalFormatting sqref="C356:Q370">
    <cfRule type="cellIs" dxfId="19" priority="20" operator="equal">
      <formula>1</formula>
    </cfRule>
  </conditionalFormatting>
  <conditionalFormatting sqref="C383:Q397">
    <cfRule type="cellIs" dxfId="18" priority="16" operator="equal">
      <formula>1</formula>
    </cfRule>
  </conditionalFormatting>
  <conditionalFormatting sqref="R5:T19">
    <cfRule type="cellIs" dxfId="17" priority="15" operator="equal">
      <formula>0</formula>
    </cfRule>
  </conditionalFormatting>
  <conditionalFormatting sqref="R32:T46">
    <cfRule type="cellIs" dxfId="16" priority="14" operator="equal">
      <formula>0</formula>
    </cfRule>
  </conditionalFormatting>
  <conditionalFormatting sqref="R59:T73">
    <cfRule type="cellIs" dxfId="15" priority="13" operator="equal">
      <formula>0</formula>
    </cfRule>
  </conditionalFormatting>
  <conditionalFormatting sqref="R86:T100">
    <cfRule type="cellIs" dxfId="14" priority="12" operator="equal">
      <formula>0</formula>
    </cfRule>
  </conditionalFormatting>
  <conditionalFormatting sqref="R113:T127">
    <cfRule type="cellIs" dxfId="13" priority="11" operator="equal">
      <formula>0</formula>
    </cfRule>
  </conditionalFormatting>
  <conditionalFormatting sqref="R140:T154">
    <cfRule type="cellIs" dxfId="12" priority="10" operator="equal">
      <formula>0</formula>
    </cfRule>
  </conditionalFormatting>
  <conditionalFormatting sqref="R167:T181">
    <cfRule type="cellIs" dxfId="11" priority="9" operator="equal">
      <formula>0</formula>
    </cfRule>
  </conditionalFormatting>
  <conditionalFormatting sqref="R194:T208">
    <cfRule type="cellIs" dxfId="10" priority="8" operator="equal">
      <formula>0</formula>
    </cfRule>
  </conditionalFormatting>
  <conditionalFormatting sqref="R221:T235">
    <cfRule type="cellIs" dxfId="9" priority="7" operator="equal">
      <formula>0</formula>
    </cfRule>
  </conditionalFormatting>
  <conditionalFormatting sqref="R248:T262">
    <cfRule type="cellIs" dxfId="8" priority="6" operator="equal">
      <formula>0</formula>
    </cfRule>
  </conditionalFormatting>
  <conditionalFormatting sqref="R275:T289">
    <cfRule type="cellIs" dxfId="7" priority="5" operator="equal">
      <formula>0</formula>
    </cfRule>
  </conditionalFormatting>
  <conditionalFormatting sqref="R302:T316">
    <cfRule type="cellIs" dxfId="6" priority="4" operator="equal">
      <formula>0</formula>
    </cfRule>
  </conditionalFormatting>
  <conditionalFormatting sqref="R329:T343">
    <cfRule type="cellIs" dxfId="5" priority="3" operator="equal">
      <formula>0</formula>
    </cfRule>
  </conditionalFormatting>
  <conditionalFormatting sqref="R356:T370">
    <cfRule type="cellIs" dxfId="4" priority="2" operator="equal">
      <formula>0</formula>
    </cfRule>
  </conditionalFormatting>
  <conditionalFormatting sqref="R383:T397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D230-5D96-4C52-A8EF-D5538E9938FB}">
  <sheetPr codeName="Sheet7"/>
  <dimension ref="A1:R19"/>
  <sheetViews>
    <sheetView workbookViewId="0">
      <selection activeCell="A5" sqref="A5"/>
    </sheetView>
  </sheetViews>
  <sheetFormatPr defaultRowHeight="14.5" x14ac:dyDescent="0.35"/>
  <cols>
    <col min="1" max="1" width="11.81640625" customWidth="1"/>
    <col min="3" max="18" width="9.54296875" bestFit="1" customWidth="1"/>
  </cols>
  <sheetData>
    <row r="1" spans="1:18" x14ac:dyDescent="0.35">
      <c r="A1" s="4" t="s">
        <v>50</v>
      </c>
    </row>
    <row r="2" spans="1:18" x14ac:dyDescent="0.35">
      <c r="A2" s="4"/>
    </row>
    <row r="3" spans="1:18" x14ac:dyDescent="0.35">
      <c r="A3" s="128" t="s">
        <v>51</v>
      </c>
      <c r="B3" s="127" t="s">
        <v>52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6" t="s">
        <v>53</v>
      </c>
      <c r="R3" s="2" t="s">
        <v>54</v>
      </c>
    </row>
    <row r="4" spans="1:18" x14ac:dyDescent="0.35">
      <c r="A4" s="129"/>
      <c r="B4" s="89">
        <f>'Data Kriteria'!C5</f>
        <v>0</v>
      </c>
      <c r="C4" s="89">
        <f>'Data Kriteria'!D5</f>
        <v>0</v>
      </c>
      <c r="D4" s="89">
        <f>'Data Kriteria'!E5</f>
        <v>0</v>
      </c>
      <c r="E4" s="89">
        <f>'Data Kriteria'!F5</f>
        <v>0</v>
      </c>
      <c r="F4" s="89">
        <f>'Data Kriteria'!G5</f>
        <v>0</v>
      </c>
      <c r="G4" s="89">
        <f>'Data Kriteria'!H5</f>
        <v>0</v>
      </c>
      <c r="H4" s="89">
        <f>'Data Kriteria'!I5</f>
        <v>0</v>
      </c>
      <c r="I4" s="89">
        <f>'Data Kriteria'!J5</f>
        <v>0</v>
      </c>
      <c r="J4" s="89">
        <f>'Data Kriteria'!K5</f>
        <v>0</v>
      </c>
      <c r="K4" s="89">
        <f>'Data Kriteria'!L5</f>
        <v>0</v>
      </c>
      <c r="L4" s="89">
        <f>'Data Kriteria'!M5</f>
        <v>0</v>
      </c>
      <c r="M4" s="89">
        <f>'Data Kriteria'!N5</f>
        <v>0</v>
      </c>
      <c r="N4" s="89">
        <f>'Data Kriteria'!O5</f>
        <v>0</v>
      </c>
      <c r="O4" s="89">
        <f>'Data Kriteria'!P5</f>
        <v>0</v>
      </c>
      <c r="P4" s="89">
        <f>'Data Kriteria'!Q5</f>
        <v>0</v>
      </c>
      <c r="Q4" s="22" t="s">
        <v>55</v>
      </c>
      <c r="R4" s="23" t="s">
        <v>56</v>
      </c>
    </row>
    <row r="5" spans="1:18" x14ac:dyDescent="0.35">
      <c r="A5" s="56">
        <f>'Data Kriteria'!B6</f>
        <v>0</v>
      </c>
      <c r="B5" s="7">
        <f>'Eig Vec Data Kriteria'!S5</f>
        <v>0</v>
      </c>
      <c r="C5" s="7">
        <f>'Eig Vec Data Kriteria'!S32</f>
        <v>0</v>
      </c>
      <c r="D5" s="7">
        <f>'Eig Vec Data Kriteria'!S59</f>
        <v>0</v>
      </c>
      <c r="E5" s="7">
        <f>'Eig Vec Data Kriteria'!S86</f>
        <v>0</v>
      </c>
      <c r="F5" s="7">
        <f>'Eig Vec Data Kriteria'!S113</f>
        <v>0</v>
      </c>
      <c r="G5" s="7">
        <f>'Eig Vec Data Kriteria'!S140</f>
        <v>0</v>
      </c>
      <c r="H5" s="7">
        <f>'Eig Vec Data Kriteria'!S167</f>
        <v>0</v>
      </c>
      <c r="I5" s="7">
        <f>'Eig Vec Data Kriteria'!S194</f>
        <v>0</v>
      </c>
      <c r="J5" s="7">
        <f>'Eig Vec Data Kriteria'!S221</f>
        <v>0</v>
      </c>
      <c r="K5" s="7">
        <f>'Eig Vec Data Kriteria'!S248</f>
        <v>0</v>
      </c>
      <c r="L5" s="7">
        <f>'Eig Vec Data Kriteria'!S275</f>
        <v>0</v>
      </c>
      <c r="M5" s="7">
        <f>'Eig Vec Data Kriteria'!S302</f>
        <v>0</v>
      </c>
      <c r="N5" s="7">
        <f>'Eig Vec Data Kriteria'!S329</f>
        <v>0</v>
      </c>
      <c r="O5" s="7">
        <f>'Eig Vec Data Kriteria'!S356</f>
        <v>0</v>
      </c>
      <c r="P5" s="7">
        <f>'Eig Vec Data Kriteria'!S383</f>
        <v>0</v>
      </c>
      <c r="Q5" s="19" t="e">
        <f>'Eig Vec Bobot Kriteria'!S5</f>
        <v>#DIV/0!</v>
      </c>
      <c r="R5" s="11" t="e">
        <f t="shared" ref="R5:R19" si="0">B5*$Q$5+C5*$Q$6+D5*$Q$7+E5*$Q$8+F5*$Q$9+G5*$Q$10+H5*$Q$11+I5*$Q$12+J5*$Q$13+K5*$Q$14+L5*$Q$15+M5*$Q$16+N5*$Q$17+O5*$Q$18+P5*$Q$19</f>
        <v>#DIV/0!</v>
      </c>
    </row>
    <row r="6" spans="1:18" x14ac:dyDescent="0.35">
      <c r="A6" s="56">
        <f>'Data Kriteria'!B7</f>
        <v>0</v>
      </c>
      <c r="B6" s="7">
        <f>'Eig Vec Data Kriteria'!S6</f>
        <v>0</v>
      </c>
      <c r="C6" s="7">
        <f>'Eig Vec Data Kriteria'!S33</f>
        <v>0</v>
      </c>
      <c r="D6" s="7">
        <f>'Eig Vec Data Kriteria'!S60</f>
        <v>0</v>
      </c>
      <c r="E6" s="7">
        <f>'Eig Vec Data Kriteria'!S87</f>
        <v>0</v>
      </c>
      <c r="F6" s="7">
        <f>'Eig Vec Data Kriteria'!S114</f>
        <v>0</v>
      </c>
      <c r="G6" s="7">
        <f>'Eig Vec Data Kriteria'!S141</f>
        <v>0</v>
      </c>
      <c r="H6" s="7">
        <f>'Eig Vec Data Kriteria'!S168</f>
        <v>0</v>
      </c>
      <c r="I6" s="7">
        <f>'Eig Vec Data Kriteria'!S195</f>
        <v>0</v>
      </c>
      <c r="J6" s="7">
        <f>'Eig Vec Data Kriteria'!S222</f>
        <v>0</v>
      </c>
      <c r="K6" s="7">
        <f>'Eig Vec Data Kriteria'!S249</f>
        <v>0</v>
      </c>
      <c r="L6" s="7">
        <f>'Eig Vec Data Kriteria'!S276</f>
        <v>0</v>
      </c>
      <c r="M6" s="7">
        <f>'Eig Vec Data Kriteria'!S303</f>
        <v>0</v>
      </c>
      <c r="N6" s="7">
        <f>'Eig Vec Data Kriteria'!S330</f>
        <v>0</v>
      </c>
      <c r="O6" s="7">
        <f>'Eig Vec Data Kriteria'!S357</f>
        <v>0</v>
      </c>
      <c r="P6" s="7">
        <f>'Eig Vec Data Kriteria'!S384</f>
        <v>0</v>
      </c>
      <c r="Q6" s="19" t="e">
        <f>'Eig Vec Bobot Kriteria'!S6</f>
        <v>#DIV/0!</v>
      </c>
      <c r="R6" s="11" t="e">
        <f t="shared" si="0"/>
        <v>#DIV/0!</v>
      </c>
    </row>
    <row r="7" spans="1:18" x14ac:dyDescent="0.35">
      <c r="A7" s="56">
        <f>'Data Kriteria'!B8</f>
        <v>0</v>
      </c>
      <c r="B7" s="7">
        <f>'Eig Vec Data Kriteria'!S7</f>
        <v>0</v>
      </c>
      <c r="C7" s="7">
        <f>'Eig Vec Data Kriteria'!S34</f>
        <v>0</v>
      </c>
      <c r="D7" s="7">
        <f>'Eig Vec Data Kriteria'!S61</f>
        <v>0</v>
      </c>
      <c r="E7" s="7">
        <f>'Eig Vec Data Kriteria'!S88</f>
        <v>0</v>
      </c>
      <c r="F7" s="7">
        <f>'Eig Vec Data Kriteria'!S115</f>
        <v>0</v>
      </c>
      <c r="G7" s="7">
        <f>'Eig Vec Data Kriteria'!S142</f>
        <v>0</v>
      </c>
      <c r="H7" s="7">
        <f>'Eig Vec Data Kriteria'!S169</f>
        <v>0</v>
      </c>
      <c r="I7" s="7">
        <f>'Eig Vec Data Kriteria'!S196</f>
        <v>0</v>
      </c>
      <c r="J7" s="7">
        <f>'Eig Vec Data Kriteria'!S223</f>
        <v>0</v>
      </c>
      <c r="K7" s="7">
        <f>'Eig Vec Data Kriteria'!S250</f>
        <v>0</v>
      </c>
      <c r="L7" s="7">
        <f>'Eig Vec Data Kriteria'!S277</f>
        <v>0</v>
      </c>
      <c r="M7" s="7">
        <f>'Eig Vec Data Kriteria'!S304</f>
        <v>0</v>
      </c>
      <c r="N7" s="7">
        <f>'Eig Vec Data Kriteria'!S331</f>
        <v>0</v>
      </c>
      <c r="O7" s="7">
        <f>'Eig Vec Data Kriteria'!S358</f>
        <v>0</v>
      </c>
      <c r="P7" s="7">
        <f>'Eig Vec Data Kriteria'!S385</f>
        <v>0</v>
      </c>
      <c r="Q7" s="19" t="e">
        <f>'Eig Vec Bobot Kriteria'!S7</f>
        <v>#DIV/0!</v>
      </c>
      <c r="R7" s="11" t="e">
        <f t="shared" si="0"/>
        <v>#DIV/0!</v>
      </c>
    </row>
    <row r="8" spans="1:18" x14ac:dyDescent="0.35">
      <c r="A8" s="56">
        <f>'Data Kriteria'!B9</f>
        <v>0</v>
      </c>
      <c r="B8" s="7">
        <f>'Eig Vec Data Kriteria'!S8</f>
        <v>0</v>
      </c>
      <c r="C8" s="7">
        <f>'Eig Vec Data Kriteria'!S35</f>
        <v>0</v>
      </c>
      <c r="D8" s="7">
        <f>'Eig Vec Data Kriteria'!S62</f>
        <v>0</v>
      </c>
      <c r="E8" s="7">
        <f>'Eig Vec Data Kriteria'!S89</f>
        <v>0</v>
      </c>
      <c r="F8" s="7">
        <f>'Eig Vec Data Kriteria'!S116</f>
        <v>0</v>
      </c>
      <c r="G8" s="7">
        <f>'Eig Vec Data Kriteria'!S143</f>
        <v>0</v>
      </c>
      <c r="H8" s="7">
        <f>'Eig Vec Data Kriteria'!S170</f>
        <v>0</v>
      </c>
      <c r="I8" s="7">
        <f>'Eig Vec Data Kriteria'!S197</f>
        <v>0</v>
      </c>
      <c r="J8" s="7">
        <f>'Eig Vec Data Kriteria'!S224</f>
        <v>0</v>
      </c>
      <c r="K8" s="7">
        <f>'Eig Vec Data Kriteria'!S251</f>
        <v>0</v>
      </c>
      <c r="L8" s="7">
        <f>'Eig Vec Data Kriteria'!S278</f>
        <v>0</v>
      </c>
      <c r="M8" s="7">
        <f>'Eig Vec Data Kriteria'!S305</f>
        <v>0</v>
      </c>
      <c r="N8" s="7">
        <f>'Eig Vec Data Kriteria'!S332</f>
        <v>0</v>
      </c>
      <c r="O8" s="7">
        <f>'Eig Vec Data Kriteria'!S359</f>
        <v>0</v>
      </c>
      <c r="P8" s="7">
        <f>'Eig Vec Data Kriteria'!S386</f>
        <v>0</v>
      </c>
      <c r="Q8" s="19" t="e">
        <f>'Eig Vec Bobot Kriteria'!S8</f>
        <v>#DIV/0!</v>
      </c>
      <c r="R8" s="11" t="e">
        <f t="shared" si="0"/>
        <v>#DIV/0!</v>
      </c>
    </row>
    <row r="9" spans="1:18" x14ac:dyDescent="0.35">
      <c r="A9" s="56">
        <f>'Data Kriteria'!B10</f>
        <v>0</v>
      </c>
      <c r="B9" s="7">
        <f>'Eig Vec Data Kriteria'!S9</f>
        <v>0</v>
      </c>
      <c r="C9" s="7">
        <f>'Eig Vec Data Kriteria'!S36</f>
        <v>0</v>
      </c>
      <c r="D9" s="7">
        <f>'Eig Vec Data Kriteria'!S63</f>
        <v>0</v>
      </c>
      <c r="E9" s="7">
        <f>'Eig Vec Data Kriteria'!S90</f>
        <v>0</v>
      </c>
      <c r="F9" s="7">
        <f>'Eig Vec Data Kriteria'!S117</f>
        <v>0</v>
      </c>
      <c r="G9" s="7">
        <f>'Eig Vec Data Kriteria'!S144</f>
        <v>0</v>
      </c>
      <c r="H9" s="7">
        <f>'Eig Vec Data Kriteria'!S171</f>
        <v>0</v>
      </c>
      <c r="I9" s="7">
        <f>'Eig Vec Data Kriteria'!S198</f>
        <v>0</v>
      </c>
      <c r="J9" s="7">
        <f>'Eig Vec Data Kriteria'!S225</f>
        <v>0</v>
      </c>
      <c r="K9" s="7">
        <f>'Eig Vec Data Kriteria'!S252</f>
        <v>0</v>
      </c>
      <c r="L9" s="7">
        <f>'Eig Vec Data Kriteria'!S279</f>
        <v>0</v>
      </c>
      <c r="M9" s="7">
        <f>'Eig Vec Data Kriteria'!S306</f>
        <v>0</v>
      </c>
      <c r="N9" s="7">
        <f>'Eig Vec Data Kriteria'!S333</f>
        <v>0</v>
      </c>
      <c r="O9" s="7">
        <f>'Eig Vec Data Kriteria'!S360</f>
        <v>0</v>
      </c>
      <c r="P9" s="7">
        <f>'Eig Vec Data Kriteria'!S387</f>
        <v>0</v>
      </c>
      <c r="Q9" s="19" t="e">
        <f>'Eig Vec Bobot Kriteria'!S9</f>
        <v>#DIV/0!</v>
      </c>
      <c r="R9" s="11" t="e">
        <f t="shared" si="0"/>
        <v>#DIV/0!</v>
      </c>
    </row>
    <row r="10" spans="1:18" x14ac:dyDescent="0.35">
      <c r="A10" s="56">
        <f>'Data Kriteria'!B11</f>
        <v>0</v>
      </c>
      <c r="B10" s="7">
        <f>'Eig Vec Data Kriteria'!S10</f>
        <v>0</v>
      </c>
      <c r="C10" s="7">
        <f>'Eig Vec Data Kriteria'!S37</f>
        <v>0</v>
      </c>
      <c r="D10" s="7">
        <f>'Eig Vec Data Kriteria'!S64</f>
        <v>0</v>
      </c>
      <c r="E10" s="7">
        <f>'Eig Vec Data Kriteria'!S91</f>
        <v>0</v>
      </c>
      <c r="F10" s="7">
        <f>'Eig Vec Data Kriteria'!S118</f>
        <v>0</v>
      </c>
      <c r="G10" s="7">
        <f>'Eig Vec Data Kriteria'!S145</f>
        <v>0</v>
      </c>
      <c r="H10" s="7">
        <f>'Eig Vec Data Kriteria'!S172</f>
        <v>0</v>
      </c>
      <c r="I10" s="7">
        <f>'Eig Vec Data Kriteria'!S199</f>
        <v>0</v>
      </c>
      <c r="J10" s="7">
        <f>'Eig Vec Data Kriteria'!S226</f>
        <v>0</v>
      </c>
      <c r="K10" s="7">
        <f>'Eig Vec Data Kriteria'!S253</f>
        <v>0</v>
      </c>
      <c r="L10" s="7">
        <f>'Eig Vec Data Kriteria'!S280</f>
        <v>0</v>
      </c>
      <c r="M10" s="7">
        <f>'Eig Vec Data Kriteria'!S307</f>
        <v>0</v>
      </c>
      <c r="N10" s="7">
        <f>'Eig Vec Data Kriteria'!S334</f>
        <v>0</v>
      </c>
      <c r="O10" s="7">
        <f>'Eig Vec Data Kriteria'!S361</f>
        <v>0</v>
      </c>
      <c r="P10" s="7">
        <f>'Eig Vec Data Kriteria'!S388</f>
        <v>0</v>
      </c>
      <c r="Q10" s="19" t="e">
        <f>'Eig Vec Bobot Kriteria'!S10</f>
        <v>#DIV/0!</v>
      </c>
      <c r="R10" s="11" t="e">
        <f t="shared" si="0"/>
        <v>#DIV/0!</v>
      </c>
    </row>
    <row r="11" spans="1:18" x14ac:dyDescent="0.35">
      <c r="A11" s="56">
        <f>'Data Kriteria'!B12</f>
        <v>0</v>
      </c>
      <c r="B11" s="7">
        <f>'Eig Vec Data Kriteria'!S11</f>
        <v>0</v>
      </c>
      <c r="C11" s="7">
        <f>'Eig Vec Data Kriteria'!S38</f>
        <v>0</v>
      </c>
      <c r="D11" s="7">
        <f>'Eig Vec Data Kriteria'!S65</f>
        <v>0</v>
      </c>
      <c r="E11" s="7">
        <f>'Eig Vec Data Kriteria'!S92</f>
        <v>0</v>
      </c>
      <c r="F11" s="7">
        <f>'Eig Vec Data Kriteria'!S119</f>
        <v>0</v>
      </c>
      <c r="G11" s="7">
        <f>'Eig Vec Data Kriteria'!S146</f>
        <v>0</v>
      </c>
      <c r="H11" s="7">
        <f>'Eig Vec Data Kriteria'!S173</f>
        <v>0</v>
      </c>
      <c r="I11" s="7">
        <f>'Eig Vec Data Kriteria'!S200</f>
        <v>0</v>
      </c>
      <c r="J11" s="7">
        <f>'Eig Vec Data Kriteria'!S227</f>
        <v>0</v>
      </c>
      <c r="K11" s="7">
        <f>'Eig Vec Data Kriteria'!S254</f>
        <v>0</v>
      </c>
      <c r="L11" s="7">
        <f>'Eig Vec Data Kriteria'!S281</f>
        <v>0</v>
      </c>
      <c r="M11" s="7">
        <f>'Eig Vec Data Kriteria'!S308</f>
        <v>0</v>
      </c>
      <c r="N11" s="7">
        <f>'Eig Vec Data Kriteria'!S335</f>
        <v>0</v>
      </c>
      <c r="O11" s="7">
        <f>'Eig Vec Data Kriteria'!S362</f>
        <v>0</v>
      </c>
      <c r="P11" s="7">
        <f>'Eig Vec Data Kriteria'!S389</f>
        <v>0</v>
      </c>
      <c r="Q11" s="19" t="e">
        <f>'Eig Vec Bobot Kriteria'!S11</f>
        <v>#DIV/0!</v>
      </c>
      <c r="R11" s="11" t="e">
        <f t="shared" si="0"/>
        <v>#DIV/0!</v>
      </c>
    </row>
    <row r="12" spans="1:18" x14ac:dyDescent="0.35">
      <c r="A12" s="56">
        <f>'Data Kriteria'!B13</f>
        <v>0</v>
      </c>
      <c r="B12" s="7">
        <f>'Eig Vec Data Kriteria'!S12</f>
        <v>0</v>
      </c>
      <c r="C12" s="7">
        <f>'Eig Vec Data Kriteria'!S39</f>
        <v>0</v>
      </c>
      <c r="D12" s="7">
        <f>'Eig Vec Data Kriteria'!S66</f>
        <v>0</v>
      </c>
      <c r="E12" s="7">
        <f>'Eig Vec Data Kriteria'!S93</f>
        <v>0</v>
      </c>
      <c r="F12" s="7">
        <f>'Eig Vec Data Kriteria'!S120</f>
        <v>0</v>
      </c>
      <c r="G12" s="7">
        <f>'Eig Vec Data Kriteria'!S147</f>
        <v>0</v>
      </c>
      <c r="H12" s="7">
        <f>'Eig Vec Data Kriteria'!S174</f>
        <v>0</v>
      </c>
      <c r="I12" s="7">
        <f>'Eig Vec Data Kriteria'!S201</f>
        <v>0</v>
      </c>
      <c r="J12" s="7">
        <f>'Eig Vec Data Kriteria'!S228</f>
        <v>0</v>
      </c>
      <c r="K12" s="7">
        <f>'Eig Vec Data Kriteria'!S255</f>
        <v>0</v>
      </c>
      <c r="L12" s="7">
        <f>'Eig Vec Data Kriteria'!S282</f>
        <v>0</v>
      </c>
      <c r="M12" s="7">
        <f>'Eig Vec Data Kriteria'!S309</f>
        <v>0</v>
      </c>
      <c r="N12" s="7">
        <f>'Eig Vec Data Kriteria'!S336</f>
        <v>0</v>
      </c>
      <c r="O12" s="7">
        <f>'Eig Vec Data Kriteria'!S363</f>
        <v>0</v>
      </c>
      <c r="P12" s="7">
        <f>'Eig Vec Data Kriteria'!S390</f>
        <v>0</v>
      </c>
      <c r="Q12" s="19" t="e">
        <f>'Eig Vec Bobot Kriteria'!S12</f>
        <v>#DIV/0!</v>
      </c>
      <c r="R12" s="11" t="e">
        <f t="shared" si="0"/>
        <v>#DIV/0!</v>
      </c>
    </row>
    <row r="13" spans="1:18" x14ac:dyDescent="0.35">
      <c r="A13" s="56">
        <f>'Data Kriteria'!B14</f>
        <v>0</v>
      </c>
      <c r="B13" s="7">
        <f>'Eig Vec Data Kriteria'!S13</f>
        <v>0</v>
      </c>
      <c r="C13" s="7">
        <f>'Eig Vec Data Kriteria'!S40</f>
        <v>0</v>
      </c>
      <c r="D13" s="7">
        <f>'Eig Vec Data Kriteria'!S67</f>
        <v>0</v>
      </c>
      <c r="E13" s="7">
        <f>'Eig Vec Data Kriteria'!S94</f>
        <v>0</v>
      </c>
      <c r="F13" s="7">
        <f>'Eig Vec Data Kriteria'!S121</f>
        <v>0</v>
      </c>
      <c r="G13" s="7">
        <f>'Eig Vec Data Kriteria'!S148</f>
        <v>0</v>
      </c>
      <c r="H13" s="7">
        <f>'Eig Vec Data Kriteria'!S175</f>
        <v>0</v>
      </c>
      <c r="I13" s="7">
        <f>'Eig Vec Data Kriteria'!S202</f>
        <v>0</v>
      </c>
      <c r="J13" s="7">
        <f>'Eig Vec Data Kriteria'!S229</f>
        <v>0</v>
      </c>
      <c r="K13" s="7">
        <f>'Eig Vec Data Kriteria'!S256</f>
        <v>0</v>
      </c>
      <c r="L13" s="7">
        <f>'Eig Vec Data Kriteria'!S283</f>
        <v>0</v>
      </c>
      <c r="M13" s="7">
        <f>'Eig Vec Data Kriteria'!S310</f>
        <v>0</v>
      </c>
      <c r="N13" s="7">
        <f>'Eig Vec Data Kriteria'!S337</f>
        <v>0</v>
      </c>
      <c r="O13" s="7">
        <f>'Eig Vec Data Kriteria'!S364</f>
        <v>0</v>
      </c>
      <c r="P13" s="7">
        <f>'Eig Vec Data Kriteria'!S391</f>
        <v>0</v>
      </c>
      <c r="Q13" s="19" t="e">
        <f>'Eig Vec Bobot Kriteria'!S13</f>
        <v>#DIV/0!</v>
      </c>
      <c r="R13" s="11" t="e">
        <f t="shared" si="0"/>
        <v>#DIV/0!</v>
      </c>
    </row>
    <row r="14" spans="1:18" x14ac:dyDescent="0.35">
      <c r="A14" s="56">
        <f>'Data Kriteria'!B15</f>
        <v>0</v>
      </c>
      <c r="B14" s="7">
        <f>'Eig Vec Data Kriteria'!S14</f>
        <v>0</v>
      </c>
      <c r="C14" s="7">
        <f>'Eig Vec Data Kriteria'!S41</f>
        <v>0</v>
      </c>
      <c r="D14" s="7">
        <f>'Eig Vec Data Kriteria'!S68</f>
        <v>0</v>
      </c>
      <c r="E14" s="7">
        <f>'Eig Vec Data Kriteria'!S95</f>
        <v>0</v>
      </c>
      <c r="F14" s="7">
        <f>'Eig Vec Data Kriteria'!S122</f>
        <v>0</v>
      </c>
      <c r="G14" s="7">
        <f>'Eig Vec Data Kriteria'!S149</f>
        <v>0</v>
      </c>
      <c r="H14" s="7">
        <f>'Eig Vec Data Kriteria'!S176</f>
        <v>0</v>
      </c>
      <c r="I14" s="7">
        <f>'Eig Vec Data Kriteria'!S203</f>
        <v>0</v>
      </c>
      <c r="J14" s="7">
        <f>'Eig Vec Data Kriteria'!S230</f>
        <v>0</v>
      </c>
      <c r="K14" s="7">
        <f>'Eig Vec Data Kriteria'!S257</f>
        <v>0</v>
      </c>
      <c r="L14" s="7">
        <f>'Eig Vec Data Kriteria'!S284</f>
        <v>0</v>
      </c>
      <c r="M14" s="7">
        <f>'Eig Vec Data Kriteria'!S311</f>
        <v>0</v>
      </c>
      <c r="N14" s="7">
        <f>'Eig Vec Data Kriteria'!S338</f>
        <v>0</v>
      </c>
      <c r="O14" s="7">
        <f>'Eig Vec Data Kriteria'!S365</f>
        <v>0</v>
      </c>
      <c r="P14" s="7">
        <f>'Eig Vec Data Kriteria'!S392</f>
        <v>0</v>
      </c>
      <c r="Q14" s="19" t="e">
        <f>'Eig Vec Bobot Kriteria'!S14</f>
        <v>#DIV/0!</v>
      </c>
      <c r="R14" s="11" t="e">
        <f t="shared" si="0"/>
        <v>#DIV/0!</v>
      </c>
    </row>
    <row r="15" spans="1:18" x14ac:dyDescent="0.35">
      <c r="A15" s="56">
        <f>'Data Kriteria'!B16</f>
        <v>0</v>
      </c>
      <c r="B15" s="7">
        <f>'Eig Vec Data Kriteria'!S15</f>
        <v>0</v>
      </c>
      <c r="C15" s="7">
        <f>'Eig Vec Data Kriteria'!S42</f>
        <v>0</v>
      </c>
      <c r="D15" s="7">
        <f>'Eig Vec Data Kriteria'!S69</f>
        <v>0</v>
      </c>
      <c r="E15" s="7">
        <f>'Eig Vec Data Kriteria'!S96</f>
        <v>0</v>
      </c>
      <c r="F15" s="7">
        <f>'Eig Vec Data Kriteria'!S123</f>
        <v>0</v>
      </c>
      <c r="G15" s="7">
        <f>'Eig Vec Data Kriteria'!S150</f>
        <v>0</v>
      </c>
      <c r="H15" s="7">
        <f>'Eig Vec Data Kriteria'!S177</f>
        <v>0</v>
      </c>
      <c r="I15" s="7">
        <f>'Eig Vec Data Kriteria'!S204</f>
        <v>0</v>
      </c>
      <c r="J15" s="7">
        <f>'Eig Vec Data Kriteria'!S231</f>
        <v>0</v>
      </c>
      <c r="K15" s="7">
        <f>'Eig Vec Data Kriteria'!S258</f>
        <v>0</v>
      </c>
      <c r="L15" s="7">
        <f>'Eig Vec Data Kriteria'!S285</f>
        <v>0</v>
      </c>
      <c r="M15" s="7">
        <f>'Eig Vec Data Kriteria'!S312</f>
        <v>0</v>
      </c>
      <c r="N15" s="7">
        <f>'Eig Vec Data Kriteria'!S339</f>
        <v>0</v>
      </c>
      <c r="O15" s="7">
        <f>'Eig Vec Data Kriteria'!S366</f>
        <v>0</v>
      </c>
      <c r="P15" s="7">
        <f>'Eig Vec Data Kriteria'!S393</f>
        <v>0</v>
      </c>
      <c r="Q15" s="19" t="e">
        <f>'Eig Vec Bobot Kriteria'!S15</f>
        <v>#DIV/0!</v>
      </c>
      <c r="R15" s="11" t="e">
        <f t="shared" si="0"/>
        <v>#DIV/0!</v>
      </c>
    </row>
    <row r="16" spans="1:18" x14ac:dyDescent="0.35">
      <c r="A16" s="56">
        <f>'Data Kriteria'!B17</f>
        <v>0</v>
      </c>
      <c r="B16" s="7">
        <f>'Eig Vec Data Kriteria'!S16</f>
        <v>0</v>
      </c>
      <c r="C16" s="7">
        <f>'Eig Vec Data Kriteria'!S43</f>
        <v>0</v>
      </c>
      <c r="D16" s="7">
        <f>'Eig Vec Data Kriteria'!S70</f>
        <v>0</v>
      </c>
      <c r="E16" s="7">
        <f>'Eig Vec Data Kriteria'!S97</f>
        <v>0</v>
      </c>
      <c r="F16" s="7">
        <f>'Eig Vec Data Kriteria'!S124</f>
        <v>0</v>
      </c>
      <c r="G16" s="7">
        <f>'Eig Vec Data Kriteria'!S151</f>
        <v>0</v>
      </c>
      <c r="H16" s="7">
        <f>'Eig Vec Data Kriteria'!S178</f>
        <v>0</v>
      </c>
      <c r="I16" s="7">
        <f>'Eig Vec Data Kriteria'!S205</f>
        <v>0</v>
      </c>
      <c r="J16" s="7">
        <f>'Eig Vec Data Kriteria'!S232</f>
        <v>0</v>
      </c>
      <c r="K16" s="7">
        <f>'Eig Vec Data Kriteria'!S259</f>
        <v>0</v>
      </c>
      <c r="L16" s="7">
        <f>'Eig Vec Data Kriteria'!S286</f>
        <v>0</v>
      </c>
      <c r="M16" s="7">
        <f>'Eig Vec Data Kriteria'!S313</f>
        <v>0</v>
      </c>
      <c r="N16" s="7">
        <f>'Eig Vec Data Kriteria'!S340</f>
        <v>0</v>
      </c>
      <c r="O16" s="7">
        <f>'Eig Vec Data Kriteria'!S367</f>
        <v>0</v>
      </c>
      <c r="P16" s="7">
        <f>'Eig Vec Data Kriteria'!S394</f>
        <v>0</v>
      </c>
      <c r="Q16" s="19" t="e">
        <f>'Eig Vec Bobot Kriteria'!S16</f>
        <v>#DIV/0!</v>
      </c>
      <c r="R16" s="11" t="e">
        <f t="shared" si="0"/>
        <v>#DIV/0!</v>
      </c>
    </row>
    <row r="17" spans="1:18" x14ac:dyDescent="0.35">
      <c r="A17" s="56">
        <f>'Data Kriteria'!B18</f>
        <v>0</v>
      </c>
      <c r="B17" s="7">
        <f>'Eig Vec Data Kriteria'!S17</f>
        <v>0</v>
      </c>
      <c r="C17" s="7">
        <f>'Eig Vec Data Kriteria'!S44</f>
        <v>0</v>
      </c>
      <c r="D17" s="7">
        <f>'Eig Vec Data Kriteria'!S71</f>
        <v>0</v>
      </c>
      <c r="E17" s="7">
        <f>'Eig Vec Data Kriteria'!S98</f>
        <v>0</v>
      </c>
      <c r="F17" s="7">
        <f>'Eig Vec Data Kriteria'!S125</f>
        <v>0</v>
      </c>
      <c r="G17" s="7">
        <f>'Eig Vec Data Kriteria'!S152</f>
        <v>0</v>
      </c>
      <c r="H17" s="7">
        <f>'Eig Vec Data Kriteria'!S179</f>
        <v>0</v>
      </c>
      <c r="I17" s="7">
        <f>'Eig Vec Data Kriteria'!S206</f>
        <v>0</v>
      </c>
      <c r="J17" s="7">
        <f>'Eig Vec Data Kriteria'!S233</f>
        <v>0</v>
      </c>
      <c r="K17" s="7">
        <f>'Eig Vec Data Kriteria'!S260</f>
        <v>0</v>
      </c>
      <c r="L17" s="7">
        <f>'Eig Vec Data Kriteria'!S287</f>
        <v>0</v>
      </c>
      <c r="M17" s="7">
        <f>'Eig Vec Data Kriteria'!S314</f>
        <v>0</v>
      </c>
      <c r="N17" s="7">
        <f>'Eig Vec Data Kriteria'!S341</f>
        <v>0</v>
      </c>
      <c r="O17" s="7">
        <f>'Eig Vec Data Kriteria'!S368</f>
        <v>0</v>
      </c>
      <c r="P17" s="7">
        <f>'Eig Vec Data Kriteria'!S395</f>
        <v>0</v>
      </c>
      <c r="Q17" s="19" t="e">
        <f>'Eig Vec Bobot Kriteria'!S17</f>
        <v>#DIV/0!</v>
      </c>
      <c r="R17" s="11" t="e">
        <f t="shared" si="0"/>
        <v>#DIV/0!</v>
      </c>
    </row>
    <row r="18" spans="1:18" x14ac:dyDescent="0.35">
      <c r="A18" s="56">
        <f>'Data Kriteria'!B19</f>
        <v>0</v>
      </c>
      <c r="B18" s="7">
        <f>'Eig Vec Data Kriteria'!S18</f>
        <v>0</v>
      </c>
      <c r="C18" s="7">
        <f>'Eig Vec Data Kriteria'!S45</f>
        <v>0</v>
      </c>
      <c r="D18" s="7">
        <f>'Eig Vec Data Kriteria'!S72</f>
        <v>0</v>
      </c>
      <c r="E18" s="7">
        <f>'Eig Vec Data Kriteria'!S99</f>
        <v>0</v>
      </c>
      <c r="F18" s="7">
        <f>'Eig Vec Data Kriteria'!S126</f>
        <v>0</v>
      </c>
      <c r="G18" s="7">
        <f>'Eig Vec Data Kriteria'!S153</f>
        <v>0</v>
      </c>
      <c r="H18" s="7">
        <f>'Eig Vec Data Kriteria'!S180</f>
        <v>0</v>
      </c>
      <c r="I18" s="7">
        <f>'Eig Vec Data Kriteria'!S207</f>
        <v>0</v>
      </c>
      <c r="J18" s="7">
        <f>'Eig Vec Data Kriteria'!S234</f>
        <v>0</v>
      </c>
      <c r="K18" s="7">
        <f>'Eig Vec Data Kriteria'!S261</f>
        <v>0</v>
      </c>
      <c r="L18" s="7">
        <f>'Eig Vec Data Kriteria'!S288</f>
        <v>0</v>
      </c>
      <c r="M18" s="7">
        <f>'Eig Vec Data Kriteria'!S315</f>
        <v>0</v>
      </c>
      <c r="N18" s="7">
        <f>'Eig Vec Data Kriteria'!S342</f>
        <v>0</v>
      </c>
      <c r="O18" s="7">
        <f>'Eig Vec Data Kriteria'!S369</f>
        <v>0</v>
      </c>
      <c r="P18" s="7">
        <f>'Eig Vec Data Kriteria'!S396</f>
        <v>0</v>
      </c>
      <c r="Q18" s="19" t="e">
        <f>'Eig Vec Bobot Kriteria'!S18</f>
        <v>#DIV/0!</v>
      </c>
      <c r="R18" s="11" t="e">
        <f t="shared" si="0"/>
        <v>#DIV/0!</v>
      </c>
    </row>
    <row r="19" spans="1:18" x14ac:dyDescent="0.35">
      <c r="A19" s="56">
        <f>'Data Kriteria'!B20</f>
        <v>0</v>
      </c>
      <c r="B19" s="7">
        <f>'Eig Vec Data Kriteria'!S19</f>
        <v>0</v>
      </c>
      <c r="C19" s="7">
        <f>'Eig Vec Data Kriteria'!S46</f>
        <v>0</v>
      </c>
      <c r="D19" s="7">
        <f>'Eig Vec Data Kriteria'!S73</f>
        <v>0</v>
      </c>
      <c r="E19" s="7">
        <f>'Eig Vec Data Kriteria'!S100</f>
        <v>0</v>
      </c>
      <c r="F19" s="7">
        <f>'Eig Vec Data Kriteria'!S127</f>
        <v>0</v>
      </c>
      <c r="G19" s="7">
        <f>'Eig Vec Data Kriteria'!S154</f>
        <v>0</v>
      </c>
      <c r="H19" s="7">
        <f>'Eig Vec Data Kriteria'!S181</f>
        <v>0</v>
      </c>
      <c r="I19" s="7">
        <f>'Eig Vec Data Kriteria'!S208</f>
        <v>0</v>
      </c>
      <c r="J19" s="7">
        <f>'Eig Vec Data Kriteria'!S235</f>
        <v>0</v>
      </c>
      <c r="K19" s="7">
        <f>'Eig Vec Data Kriteria'!S262</f>
        <v>0</v>
      </c>
      <c r="L19" s="7">
        <f>'Eig Vec Data Kriteria'!S289</f>
        <v>0</v>
      </c>
      <c r="M19" s="7">
        <f>'Eig Vec Data Kriteria'!S316</f>
        <v>0</v>
      </c>
      <c r="N19" s="7">
        <f>'Eig Vec Data Kriteria'!S343</f>
        <v>0</v>
      </c>
      <c r="O19" s="7">
        <f>'Eig Vec Data Kriteria'!S370</f>
        <v>0</v>
      </c>
      <c r="P19" s="7">
        <f>'Eig Vec Data Kriteria'!S397</f>
        <v>0</v>
      </c>
      <c r="Q19" s="19" t="e">
        <f>'Eig Vec Bobot Kriteria'!S19</f>
        <v>#DIV/0!</v>
      </c>
      <c r="R19" s="11" t="e">
        <f t="shared" si="0"/>
        <v>#DIV/0!</v>
      </c>
    </row>
  </sheetData>
  <sheetProtection algorithmName="SHA-512" hashValue="xsggqQxtatrfISOiH8SRcpMPsPLDjvHgShiU4bdrDc5fyTYwLM5vk/pBmrROQt5EvC+m7ITsvNAA7StjXtN9CQ==" saltValue="h/B4PRxr7RuJQSOMH3JAUQ==" spinCount="100000" sheet="1" objects="1" scenarios="1" selectLockedCells="1"/>
  <mergeCells count="2">
    <mergeCell ref="B3:P3"/>
    <mergeCell ref="A3:A4"/>
  </mergeCells>
  <conditionalFormatting sqref="B5:P19">
    <cfRule type="cellIs" dxfId="2" priority="2" operator="equal">
      <formula>0</formula>
    </cfRule>
  </conditionalFormatting>
  <conditionalFormatting sqref="Q5:R19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404F-98B4-4BE9-8867-EF6793EC70BB}">
  <sheetPr codeName="Sheet8"/>
  <dimension ref="B1:H42"/>
  <sheetViews>
    <sheetView workbookViewId="0">
      <selection activeCell="A24" sqref="A24:XFD42"/>
    </sheetView>
  </sheetViews>
  <sheetFormatPr defaultRowHeight="14.5" x14ac:dyDescent="0.35"/>
  <cols>
    <col min="3" max="3" width="13.26953125" customWidth="1"/>
    <col min="4" max="4" width="9.1796875" hidden="1" customWidth="1"/>
    <col min="5" max="5" width="30.26953125" customWidth="1"/>
    <col min="6" max="6" width="13.453125" customWidth="1"/>
  </cols>
  <sheetData>
    <row r="1" spans="2:8" x14ac:dyDescent="0.35">
      <c r="B1" s="132" t="str">
        <f>Challanges!C1</f>
        <v>Nama Kegiatan Perhitungan AHP (disesuaikan di sini)</v>
      </c>
      <c r="C1" s="133"/>
      <c r="D1" s="133"/>
      <c r="E1" s="133"/>
      <c r="F1" s="133"/>
      <c r="G1" s="133"/>
      <c r="H1" s="134"/>
    </row>
    <row r="3" spans="2:8" x14ac:dyDescent="0.35">
      <c r="B3" s="13"/>
      <c r="C3" s="13"/>
      <c r="D3" s="13"/>
      <c r="E3" s="13"/>
      <c r="F3" s="13"/>
      <c r="G3" s="13"/>
      <c r="H3" s="13"/>
    </row>
    <row r="4" spans="2:8" x14ac:dyDescent="0.35">
      <c r="B4" s="13"/>
      <c r="C4" s="130" t="s">
        <v>24</v>
      </c>
      <c r="D4" s="130"/>
      <c r="E4" s="130"/>
      <c r="F4" s="130"/>
      <c r="G4" s="130"/>
      <c r="H4" s="13"/>
    </row>
    <row r="5" spans="2:8" x14ac:dyDescent="0.35">
      <c r="B5" s="13"/>
      <c r="C5" s="52"/>
      <c r="D5" s="52"/>
      <c r="E5" s="52"/>
      <c r="F5" s="52"/>
      <c r="G5" s="52"/>
      <c r="H5" s="13"/>
    </row>
    <row r="6" spans="2:8" x14ac:dyDescent="0.35">
      <c r="B6" s="13"/>
      <c r="C6" s="53" t="s">
        <v>25</v>
      </c>
      <c r="D6" s="54"/>
      <c r="E6" s="53" t="s">
        <v>26</v>
      </c>
      <c r="F6" s="53" t="s">
        <v>27</v>
      </c>
      <c r="G6" s="53" t="s">
        <v>28</v>
      </c>
      <c r="H6" s="13"/>
    </row>
    <row r="7" spans="2:8" x14ac:dyDescent="0.35">
      <c r="B7" s="13"/>
      <c r="C7" s="17">
        <v>1</v>
      </c>
      <c r="E7" s="18" cm="1">
        <f t="array" ref="E7:G21">_xlfn._xlws.SORT(E27:G41,3,-1)</f>
        <v>0</v>
      </c>
      <c r="F7" s="18">
        <v>0</v>
      </c>
      <c r="G7" s="20" t="e">
        <v>#DIV/0!</v>
      </c>
      <c r="H7" s="13"/>
    </row>
    <row r="8" spans="2:8" x14ac:dyDescent="0.35">
      <c r="B8" s="13"/>
      <c r="C8" s="10">
        <v>2</v>
      </c>
      <c r="E8" s="18">
        <v>0</v>
      </c>
      <c r="F8" s="18">
        <v>0</v>
      </c>
      <c r="G8" s="20" t="e">
        <v>#DIV/0!</v>
      </c>
      <c r="H8" s="13"/>
    </row>
    <row r="9" spans="2:8" x14ac:dyDescent="0.35">
      <c r="B9" s="13"/>
      <c r="C9" s="10">
        <v>3</v>
      </c>
      <c r="E9" s="18">
        <v>0</v>
      </c>
      <c r="F9" s="18">
        <v>0</v>
      </c>
      <c r="G9" s="20" t="e">
        <v>#DIV/0!</v>
      </c>
      <c r="H9" s="13"/>
    </row>
    <row r="10" spans="2:8" x14ac:dyDescent="0.35">
      <c r="B10" s="13"/>
      <c r="C10" s="10">
        <v>4</v>
      </c>
      <c r="E10" s="18">
        <v>0</v>
      </c>
      <c r="F10" s="18">
        <v>0</v>
      </c>
      <c r="G10" s="20" t="e">
        <v>#DIV/0!</v>
      </c>
      <c r="H10" s="13"/>
    </row>
    <row r="11" spans="2:8" x14ac:dyDescent="0.35">
      <c r="B11" s="13"/>
      <c r="C11" s="10">
        <v>5</v>
      </c>
      <c r="E11" s="18">
        <v>0</v>
      </c>
      <c r="F11" s="18">
        <v>0</v>
      </c>
      <c r="G11" s="20" t="e">
        <v>#DIV/0!</v>
      </c>
      <c r="H11" s="13"/>
    </row>
    <row r="12" spans="2:8" x14ac:dyDescent="0.35">
      <c r="B12" s="13"/>
      <c r="C12" s="10">
        <v>6</v>
      </c>
      <c r="E12" s="18">
        <v>0</v>
      </c>
      <c r="F12" s="18">
        <v>0</v>
      </c>
      <c r="G12" s="20" t="e">
        <v>#DIV/0!</v>
      </c>
      <c r="H12" s="13"/>
    </row>
    <row r="13" spans="2:8" x14ac:dyDescent="0.35">
      <c r="B13" s="13"/>
      <c r="C13" s="10">
        <v>7</v>
      </c>
      <c r="E13" s="18">
        <v>0</v>
      </c>
      <c r="F13" s="18">
        <v>0</v>
      </c>
      <c r="G13" s="20" t="e">
        <v>#DIV/0!</v>
      </c>
      <c r="H13" s="13"/>
    </row>
    <row r="14" spans="2:8" x14ac:dyDescent="0.35">
      <c r="B14" s="13"/>
      <c r="C14" s="10">
        <v>8</v>
      </c>
      <c r="E14" s="18">
        <v>0</v>
      </c>
      <c r="F14" s="18">
        <v>0</v>
      </c>
      <c r="G14" s="20" t="e">
        <v>#DIV/0!</v>
      </c>
      <c r="H14" s="13"/>
    </row>
    <row r="15" spans="2:8" x14ac:dyDescent="0.35">
      <c r="B15" s="13"/>
      <c r="C15" s="10">
        <v>9</v>
      </c>
      <c r="E15" s="18">
        <v>0</v>
      </c>
      <c r="F15" s="18">
        <v>0</v>
      </c>
      <c r="G15" s="20" t="e">
        <v>#DIV/0!</v>
      </c>
      <c r="H15" s="13"/>
    </row>
    <row r="16" spans="2:8" x14ac:dyDescent="0.35">
      <c r="B16" s="13"/>
      <c r="C16" s="10">
        <v>10</v>
      </c>
      <c r="E16" s="18">
        <v>0</v>
      </c>
      <c r="F16" s="18">
        <v>0</v>
      </c>
      <c r="G16" s="20" t="e">
        <v>#DIV/0!</v>
      </c>
      <c r="H16" s="13"/>
    </row>
    <row r="17" spans="2:8" x14ac:dyDescent="0.35">
      <c r="B17" s="13"/>
      <c r="C17" s="10">
        <v>11</v>
      </c>
      <c r="E17" s="18">
        <v>0</v>
      </c>
      <c r="F17" s="18">
        <v>0</v>
      </c>
      <c r="G17" s="20" t="e">
        <v>#DIV/0!</v>
      </c>
      <c r="H17" s="13"/>
    </row>
    <row r="18" spans="2:8" x14ac:dyDescent="0.35">
      <c r="B18" s="13"/>
      <c r="C18" s="10">
        <v>12</v>
      </c>
      <c r="E18" s="18">
        <v>0</v>
      </c>
      <c r="F18" s="18">
        <v>0</v>
      </c>
      <c r="G18" s="20" t="e">
        <v>#DIV/0!</v>
      </c>
      <c r="H18" s="13"/>
    </row>
    <row r="19" spans="2:8" x14ac:dyDescent="0.35">
      <c r="B19" s="13"/>
      <c r="C19" s="10">
        <v>13</v>
      </c>
      <c r="E19" s="18">
        <v>0</v>
      </c>
      <c r="F19" s="18">
        <v>0</v>
      </c>
      <c r="G19" s="20" t="e">
        <v>#DIV/0!</v>
      </c>
      <c r="H19" s="13"/>
    </row>
    <row r="20" spans="2:8" x14ac:dyDescent="0.35">
      <c r="B20" s="13"/>
      <c r="C20" s="10">
        <v>14</v>
      </c>
      <c r="E20" s="18">
        <v>0</v>
      </c>
      <c r="F20" s="18">
        <v>0</v>
      </c>
      <c r="G20" s="20" t="e">
        <v>#DIV/0!</v>
      </c>
      <c r="H20" s="13"/>
    </row>
    <row r="21" spans="2:8" x14ac:dyDescent="0.35">
      <c r="B21" s="13"/>
      <c r="C21" s="10">
        <v>15</v>
      </c>
      <c r="E21" s="18">
        <v>0</v>
      </c>
      <c r="F21" s="18">
        <v>0</v>
      </c>
      <c r="G21" s="20" t="e">
        <v>#DIV/0!</v>
      </c>
      <c r="H21" s="13"/>
    </row>
    <row r="22" spans="2:8" x14ac:dyDescent="0.35">
      <c r="B22" s="13"/>
      <c r="C22" s="13"/>
      <c r="D22" s="13"/>
      <c r="E22" s="13"/>
      <c r="F22" s="13"/>
      <c r="G22" s="13"/>
      <c r="H22" s="13"/>
    </row>
    <row r="24" spans="2:8" hidden="1" x14ac:dyDescent="0.35"/>
    <row r="25" spans="2:8" hidden="1" x14ac:dyDescent="0.35">
      <c r="E25" s="131" t="s">
        <v>29</v>
      </c>
      <c r="F25" s="131"/>
      <c r="G25" s="131"/>
    </row>
    <row r="26" spans="2:8" hidden="1" x14ac:dyDescent="0.35">
      <c r="E26" s="87" t="s">
        <v>30</v>
      </c>
      <c r="F26" s="87" t="s">
        <v>31</v>
      </c>
      <c r="G26" s="87" t="s">
        <v>28</v>
      </c>
    </row>
    <row r="27" spans="2:8" hidden="1" x14ac:dyDescent="0.35">
      <c r="E27" s="24">
        <f>Challanges!C7</f>
        <v>0</v>
      </c>
      <c r="F27" s="24">
        <f>Challanges!D7</f>
        <v>0</v>
      </c>
      <c r="G27" s="26" t="e">
        <f>'FINAL MATRIK'!R5</f>
        <v>#DIV/0!</v>
      </c>
    </row>
    <row r="28" spans="2:8" hidden="1" x14ac:dyDescent="0.35">
      <c r="E28" s="24">
        <f>Challanges!C8</f>
        <v>0</v>
      </c>
      <c r="F28" s="24">
        <f>Challanges!D8</f>
        <v>0</v>
      </c>
      <c r="G28" s="26" t="e">
        <f>'FINAL MATRIK'!R6</f>
        <v>#DIV/0!</v>
      </c>
    </row>
    <row r="29" spans="2:8" hidden="1" x14ac:dyDescent="0.35">
      <c r="E29" s="24">
        <f>Challanges!C9</f>
        <v>0</v>
      </c>
      <c r="F29" s="24">
        <f>Challanges!D9</f>
        <v>0</v>
      </c>
      <c r="G29" s="26" t="e">
        <f>'FINAL MATRIK'!R7</f>
        <v>#DIV/0!</v>
      </c>
    </row>
    <row r="30" spans="2:8" hidden="1" x14ac:dyDescent="0.35">
      <c r="E30" s="24">
        <f>Challanges!C10</f>
        <v>0</v>
      </c>
      <c r="F30" s="24">
        <f>Challanges!D10</f>
        <v>0</v>
      </c>
      <c r="G30" s="26" t="e">
        <f>'FINAL MATRIK'!R8</f>
        <v>#DIV/0!</v>
      </c>
    </row>
    <row r="31" spans="2:8" hidden="1" x14ac:dyDescent="0.35">
      <c r="E31" s="24">
        <f>Challanges!C11</f>
        <v>0</v>
      </c>
      <c r="F31" s="24">
        <f>Challanges!D11</f>
        <v>0</v>
      </c>
      <c r="G31" s="26" t="e">
        <f>'FINAL MATRIK'!R9</f>
        <v>#DIV/0!</v>
      </c>
    </row>
    <row r="32" spans="2:8" hidden="1" x14ac:dyDescent="0.35">
      <c r="E32" s="24">
        <f>Challanges!C12</f>
        <v>0</v>
      </c>
      <c r="F32" s="24">
        <f>Challanges!D12</f>
        <v>0</v>
      </c>
      <c r="G32" s="26" t="e">
        <f>'FINAL MATRIK'!R10</f>
        <v>#DIV/0!</v>
      </c>
    </row>
    <row r="33" spans="5:7" hidden="1" x14ac:dyDescent="0.35">
      <c r="E33" s="24">
        <f>Challanges!C13</f>
        <v>0</v>
      </c>
      <c r="F33" s="24">
        <f>Challanges!D13</f>
        <v>0</v>
      </c>
      <c r="G33" s="26" t="e">
        <f>'FINAL MATRIK'!R11</f>
        <v>#DIV/0!</v>
      </c>
    </row>
    <row r="34" spans="5:7" hidden="1" x14ac:dyDescent="0.35">
      <c r="E34" s="24">
        <f>Challanges!C14</f>
        <v>0</v>
      </c>
      <c r="F34" s="24">
        <f>Challanges!D14</f>
        <v>0</v>
      </c>
      <c r="G34" s="26" t="e">
        <f>'FINAL MATRIK'!R12</f>
        <v>#DIV/0!</v>
      </c>
    </row>
    <row r="35" spans="5:7" hidden="1" x14ac:dyDescent="0.35">
      <c r="E35" s="24">
        <f>Challanges!C15</f>
        <v>0</v>
      </c>
      <c r="F35" s="24">
        <f>Challanges!D15</f>
        <v>0</v>
      </c>
      <c r="G35" s="26" t="e">
        <f>'FINAL MATRIK'!R13</f>
        <v>#DIV/0!</v>
      </c>
    </row>
    <row r="36" spans="5:7" hidden="1" x14ac:dyDescent="0.35">
      <c r="E36" s="24">
        <f>Challanges!C16</f>
        <v>0</v>
      </c>
      <c r="F36" s="24">
        <f>Challanges!D16</f>
        <v>0</v>
      </c>
      <c r="G36" s="26" t="e">
        <f>'FINAL MATRIK'!R14</f>
        <v>#DIV/0!</v>
      </c>
    </row>
    <row r="37" spans="5:7" hidden="1" x14ac:dyDescent="0.35">
      <c r="E37" s="24">
        <f>Challanges!C17</f>
        <v>0</v>
      </c>
      <c r="F37" s="24">
        <f>Challanges!D17</f>
        <v>0</v>
      </c>
      <c r="G37" s="26" t="e">
        <f>'FINAL MATRIK'!R15</f>
        <v>#DIV/0!</v>
      </c>
    </row>
    <row r="38" spans="5:7" hidden="1" x14ac:dyDescent="0.35">
      <c r="E38" s="24">
        <f>Challanges!C18</f>
        <v>0</v>
      </c>
      <c r="F38" s="24">
        <f>Challanges!D18</f>
        <v>0</v>
      </c>
      <c r="G38" s="26" t="e">
        <f>'FINAL MATRIK'!R16</f>
        <v>#DIV/0!</v>
      </c>
    </row>
    <row r="39" spans="5:7" hidden="1" x14ac:dyDescent="0.35">
      <c r="E39" s="24">
        <f>Challanges!C19</f>
        <v>0</v>
      </c>
      <c r="F39" s="24">
        <f>Challanges!D19</f>
        <v>0</v>
      </c>
      <c r="G39" s="26" t="e">
        <f>'FINAL MATRIK'!R17</f>
        <v>#DIV/0!</v>
      </c>
    </row>
    <row r="40" spans="5:7" hidden="1" x14ac:dyDescent="0.35">
      <c r="E40" s="24">
        <f>Challanges!C20</f>
        <v>0</v>
      </c>
      <c r="F40" s="24">
        <f>Challanges!D20</f>
        <v>0</v>
      </c>
      <c r="G40" s="26" t="e">
        <f>'FINAL MATRIK'!R18</f>
        <v>#DIV/0!</v>
      </c>
    </row>
    <row r="41" spans="5:7" hidden="1" x14ac:dyDescent="0.35">
      <c r="E41" s="24">
        <f>Challanges!C21</f>
        <v>0</v>
      </c>
      <c r="F41" s="24">
        <f>Challanges!D21</f>
        <v>0</v>
      </c>
      <c r="G41" s="26" t="e">
        <f>'FINAL MATRIK'!R19</f>
        <v>#DIV/0!</v>
      </c>
    </row>
    <row r="42" spans="5:7" hidden="1" x14ac:dyDescent="0.35"/>
  </sheetData>
  <sheetProtection algorithmName="SHA-512" hashValue="JG6+jUAMssJdRcFk26PaIhU3qRTIVWf0OWO2e5IvLsvp6s0ol9Zq33n9gHbWP797xELc+WgatMu2Q2iC/r4JFw==" saltValue="q3q5tlUlMul6AXPyox65Kg==" spinCount="100000" sheet="1" selectLockedCells="1"/>
  <sortState xmlns:xlrd2="http://schemas.microsoft.com/office/spreadsheetml/2017/richdata2" ref="E7:G21">
    <sortCondition descending="1" ref="G7:G21"/>
  </sortState>
  <mergeCells count="3">
    <mergeCell ref="C4:G4"/>
    <mergeCell ref="E25:G25"/>
    <mergeCell ref="B1:H1"/>
  </mergeCells>
  <conditionalFormatting sqref="G7:G2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Panduan</vt:lpstr>
      <vt:lpstr>Challanges</vt:lpstr>
      <vt:lpstr>Kriteria&amp;Bobot</vt:lpstr>
      <vt:lpstr>Data Kriteria</vt:lpstr>
      <vt:lpstr>Eig Vec Bobot Kriteria</vt:lpstr>
      <vt:lpstr>Eig Vec Data Kriteria</vt:lpstr>
      <vt:lpstr>FINAL MATRIK</vt:lpstr>
      <vt:lpstr>PERINGKAT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Sudirman</cp:lastModifiedBy>
  <cp:revision/>
  <dcterms:created xsi:type="dcterms:W3CDTF">2025-03-16T08:01:37Z</dcterms:created>
  <dcterms:modified xsi:type="dcterms:W3CDTF">2025-10-01T08:02:01Z</dcterms:modified>
  <cp:category/>
  <cp:contentStatus/>
</cp:coreProperties>
</file>